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74108D5B977D748/Documents/"/>
    </mc:Choice>
  </mc:AlternateContent>
  <xr:revisionPtr revIDLastSave="2319" documentId="8_{A7AD6DE2-08B9-4F18-AE9B-5E0BB16A9B7E}" xr6:coauthVersionLast="47" xr6:coauthVersionMax="47" xr10:uidLastSave="{220AC01D-A65E-42AD-BC5F-1204100721BA}"/>
  <bookViews>
    <workbookView xWindow="-108" yWindow="-108" windowWidth="23256" windowHeight="12456" xr2:uid="{DD9A1C2C-222A-4574-9E7D-2D71F1C2E4CD}"/>
  </bookViews>
  <sheets>
    <sheet name="Dashboard" sheetId="1" r:id="rId1"/>
    <sheet name="Customer" sheetId="23" r:id="rId2"/>
    <sheet name="Product" sheetId="25" r:id="rId3"/>
    <sheet name="Vendor" sheetId="24" r:id="rId4"/>
    <sheet name="New Entry" sheetId="26" r:id="rId5"/>
    <sheet name="Purchase" sheetId="27" r:id="rId6"/>
    <sheet name="Sales" sheetId="29" r:id="rId7"/>
    <sheet name="Inventory" sheetId="28" r:id="rId8"/>
    <sheet name="Pivot" sheetId="30" r:id="rId9"/>
  </sheets>
  <definedNames>
    <definedName name="Cid">customer1[Cust_ID]</definedName>
    <definedName name="Customerstable">customer1[#All]</definedName>
    <definedName name="hsncode">productT[HSN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8" l="1"/>
  <c r="J15" i="28" s="1"/>
  <c r="K8" i="28"/>
  <c r="K9" i="28"/>
  <c r="K10" i="28"/>
  <c r="K11" i="28"/>
  <c r="K12" i="28"/>
  <c r="K13" i="28"/>
  <c r="K14" i="28"/>
  <c r="K15" i="28"/>
  <c r="S14" i="1" s="1" a="1"/>
  <c r="K16" i="28"/>
  <c r="K17" i="28"/>
  <c r="K18" i="28"/>
  <c r="K19" i="28"/>
  <c r="K20" i="28"/>
  <c r="K21" i="28"/>
  <c r="K22" i="28"/>
  <c r="K23" i="28"/>
  <c r="K24" i="28"/>
  <c r="K25" i="28"/>
  <c r="K26" i="28"/>
  <c r="K27" i="28"/>
  <c r="H13" i="28"/>
  <c r="I13" i="28" s="1"/>
  <c r="J8" i="28"/>
  <c r="J9" i="28"/>
  <c r="J10" i="28"/>
  <c r="J11" i="28"/>
  <c r="J12" i="28"/>
  <c r="J14" i="28"/>
  <c r="J16" i="28"/>
  <c r="J17" i="28"/>
  <c r="D27" i="28"/>
  <c r="C3" i="30"/>
  <c r="C19" i="30"/>
  <c r="C15" i="30"/>
  <c r="C11" i="30"/>
  <c r="C7" i="30"/>
  <c r="D17" i="28"/>
  <c r="D10" i="28"/>
  <c r="D9" i="28"/>
  <c r="D11" i="28"/>
  <c r="D12" i="28"/>
  <c r="D13" i="28"/>
  <c r="D14" i="28"/>
  <c r="D15" i="28"/>
  <c r="D16" i="28"/>
  <c r="D8" i="28"/>
  <c r="E9" i="28"/>
  <c r="F9" i="28"/>
  <c r="E10" i="28"/>
  <c r="F10" i="28"/>
  <c r="E11" i="28"/>
  <c r="F11" i="28"/>
  <c r="E12" i="28"/>
  <c r="F12" i="28"/>
  <c r="E13" i="28"/>
  <c r="F13" i="28"/>
  <c r="E14" i="28"/>
  <c r="F14" i="28"/>
  <c r="E15" i="28"/>
  <c r="F15" i="28"/>
  <c r="E16" i="28"/>
  <c r="F16" i="28"/>
  <c r="E17" i="28"/>
  <c r="F17" i="28"/>
  <c r="E8" i="28"/>
  <c r="F8" i="28"/>
  <c r="K10" i="29"/>
  <c r="L10" i="29" s="1"/>
  <c r="K11" i="29"/>
  <c r="L11" i="29" s="1"/>
  <c r="K12" i="29"/>
  <c r="L12" i="29" s="1"/>
  <c r="K13" i="29"/>
  <c r="L13" i="29" s="1"/>
  <c r="K14" i="29"/>
  <c r="L14" i="29" s="1"/>
  <c r="K15" i="29"/>
  <c r="L15" i="29" s="1"/>
  <c r="K16" i="29"/>
  <c r="L16" i="29" s="1"/>
  <c r="K17" i="29"/>
  <c r="L17" i="29" s="1"/>
  <c r="K18" i="29"/>
  <c r="L18" i="29" s="1"/>
  <c r="K19" i="29"/>
  <c r="L19" i="29" s="1"/>
  <c r="K20" i="29"/>
  <c r="L20" i="29" s="1"/>
  <c r="K21" i="29"/>
  <c r="L21" i="29" s="1"/>
  <c r="K22" i="29"/>
  <c r="L22" i="29" s="1"/>
  <c r="K23" i="29"/>
  <c r="L23" i="29" s="1"/>
  <c r="K24" i="29"/>
  <c r="L24" i="29" s="1"/>
  <c r="K25" i="29"/>
  <c r="L25" i="29" s="1"/>
  <c r="K26" i="29"/>
  <c r="L26" i="29" s="1"/>
  <c r="K27" i="29"/>
  <c r="L27" i="29" s="1"/>
  <c r="K28" i="29"/>
  <c r="L28" i="29" s="1"/>
  <c r="K29" i="29"/>
  <c r="L29" i="29" s="1"/>
  <c r="K30" i="29"/>
  <c r="L30" i="29" s="1"/>
  <c r="G10" i="29"/>
  <c r="H8" i="28" s="1"/>
  <c r="G11" i="29"/>
  <c r="H9" i="28" s="1"/>
  <c r="G12" i="29"/>
  <c r="H10" i="28" s="1"/>
  <c r="G13" i="29"/>
  <c r="H11" i="28" s="1"/>
  <c r="G14" i="29"/>
  <c r="H12" i="28" s="1"/>
  <c r="G15" i="29"/>
  <c r="G16" i="29"/>
  <c r="H14" i="28" s="1"/>
  <c r="G17" i="29"/>
  <c r="H15" i="28" s="1"/>
  <c r="G18" i="29"/>
  <c r="H16" i="28" s="1"/>
  <c r="G19" i="29"/>
  <c r="G20" i="29"/>
  <c r="G21" i="29"/>
  <c r="G22" i="29"/>
  <c r="G23" i="29"/>
  <c r="G24" i="29"/>
  <c r="G25" i="29"/>
  <c r="G26" i="29"/>
  <c r="G27" i="29"/>
  <c r="G28" i="29"/>
  <c r="G29" i="29"/>
  <c r="G30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I9" i="27"/>
  <c r="J9" i="27" s="1"/>
  <c r="I10" i="27"/>
  <c r="J10" i="27" s="1"/>
  <c r="I11" i="27"/>
  <c r="J11" i="27" s="1"/>
  <c r="I12" i="27"/>
  <c r="J12" i="27" s="1"/>
  <c r="I13" i="27"/>
  <c r="J13" i="27" s="1"/>
  <c r="I14" i="27"/>
  <c r="J14" i="27" s="1"/>
  <c r="I15" i="27"/>
  <c r="J15" i="27" s="1"/>
  <c r="I16" i="27"/>
  <c r="J16" i="27" s="1"/>
  <c r="I17" i="27"/>
  <c r="J17" i="27" s="1"/>
  <c r="I18" i="27"/>
  <c r="J18" i="27" s="1"/>
  <c r="I19" i="27"/>
  <c r="J19" i="27" s="1"/>
  <c r="I20" i="27"/>
  <c r="J20" i="27" s="1"/>
  <c r="I21" i="27"/>
  <c r="J21" i="27" s="1"/>
  <c r="E9" i="27"/>
  <c r="E10" i="27"/>
  <c r="G10" i="28" s="1"/>
  <c r="I10" i="28" s="1"/>
  <c r="E11" i="27"/>
  <c r="G11" i="28" s="1"/>
  <c r="I11" i="28" s="1"/>
  <c r="E12" i="27"/>
  <c r="G12" i="28" s="1"/>
  <c r="I12" i="28" s="1"/>
  <c r="E13" i="27"/>
  <c r="G13" i="28" s="1"/>
  <c r="E14" i="27"/>
  <c r="G14" i="28" s="1"/>
  <c r="I14" i="28" s="1"/>
  <c r="E15" i="27"/>
  <c r="G15" i="28" s="1"/>
  <c r="E16" i="27"/>
  <c r="G16" i="28" s="1"/>
  <c r="I16" i="28" s="1"/>
  <c r="E17" i="27"/>
  <c r="E18" i="27"/>
  <c r="E19" i="27"/>
  <c r="E20" i="27"/>
  <c r="E21" i="27"/>
  <c r="J13" i="28" l="1"/>
  <c r="I12" i="29"/>
  <c r="I13" i="29"/>
  <c r="I14" i="29"/>
  <c r="I15" i="29"/>
  <c r="I16" i="29"/>
  <c r="I17" i="29"/>
  <c r="I18" i="29"/>
  <c r="G17" i="28"/>
  <c r="H17" i="28"/>
  <c r="C23" i="30"/>
  <c r="G8" i="28"/>
  <c r="I8" i="28" s="1"/>
  <c r="G9" i="28"/>
  <c r="I9" i="28" s="1"/>
  <c r="I17" i="28" l="1"/>
  <c r="I10" i="29"/>
  <c r="I11" i="29"/>
  <c r="I19" i="2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<sst xmlns="http://schemas.openxmlformats.org/spreadsheetml/2006/main" count="201" uniqueCount="98">
  <si>
    <t xml:space="preserve"> </t>
  </si>
  <si>
    <t>Cust_ID</t>
  </si>
  <si>
    <t>Name</t>
  </si>
  <si>
    <t>Email</t>
  </si>
  <si>
    <t>Address</t>
  </si>
  <si>
    <t>Ram sales</t>
  </si>
  <si>
    <t>Ram@gmail.c</t>
  </si>
  <si>
    <t>Delhi, India</t>
  </si>
  <si>
    <t>Atul Ltd.</t>
  </si>
  <si>
    <t>Atu@gmail.cc</t>
  </si>
  <si>
    <t>121102, Palwal, HR</t>
  </si>
  <si>
    <t>MK Tech.</t>
  </si>
  <si>
    <t>MK@gmail.cc</t>
  </si>
  <si>
    <t>Faridabad, 121101</t>
  </si>
  <si>
    <t>99store</t>
  </si>
  <si>
    <t>99s@gmail.c</t>
  </si>
  <si>
    <t>Agra, UP</t>
  </si>
  <si>
    <t>Rajesh Kumar</t>
  </si>
  <si>
    <t>Raj@gmail.cc</t>
  </si>
  <si>
    <t>New Delhi, 110011</t>
  </si>
  <si>
    <t>Amit</t>
  </si>
  <si>
    <t>Ami@gmail.c</t>
  </si>
  <si>
    <t>Gurgaon, Sec-15</t>
  </si>
  <si>
    <t>Jain Tel.</t>
  </si>
  <si>
    <t>Jai@gmail.co</t>
  </si>
  <si>
    <t>Janpath, New Delhi</t>
  </si>
  <si>
    <t>HSN Code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</si>
  <si>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</si>
  <si>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</si>
  <si>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</si>
  <si>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</si>
  <si>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</si>
  <si>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</si>
  <si>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</si>
  <si>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</si>
  <si>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</si>
  <si>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</si>
  <si>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</si>
  <si>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</si>
  <si>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</si>
  <si>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</si>
  <si>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</si>
  <si>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</si>
  <si>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</si>
  <si>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</si>
  <si>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</si>
  <si>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</si>
  <si>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</si>
  <si>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</si>
  <si>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</si>
  <si>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</si>
  <si>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</si>
  <si>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</si>
  <si>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9812xxxxxx</t>
  </si>
  <si>
    <t>Laptop HP xyz</t>
  </si>
  <si>
    <t>Faridabad, 121102</t>
  </si>
  <si>
    <t>Wireless Print</t>
  </si>
  <si>
    <t>Faridabad, 121103</t>
  </si>
  <si>
    <t>GG Traders</t>
  </si>
  <si>
    <t>9813xxxxxx</t>
  </si>
  <si>
    <t>Gurgaon, Sec-16</t>
  </si>
  <si>
    <t>Gurgaon, Sec-17</t>
  </si>
  <si>
    <t>Gurgaon, Sec-18</t>
  </si>
  <si>
    <t>Compac</t>
  </si>
  <si>
    <t>9814xxxxxx</t>
  </si>
  <si>
    <t>New Delhi, 110012</t>
  </si>
  <si>
    <t>New Delhi, 110013</t>
  </si>
  <si>
    <t>New Delhi, 110014</t>
  </si>
  <si>
    <t>Purchase Entry</t>
  </si>
  <si>
    <t>Sale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</si>
  <si>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</si>
  <si>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</si>
  <si>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</si>
  <si>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</si>
  <si>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</si>
  <si>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</si>
  <si>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</si>
  <si>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</si>
  <si>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</si>
  <si>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</si>
  <si>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Stock Amt</t>
  </si>
  <si>
    <t>Count of Name</t>
  </si>
  <si>
    <t>Customer</t>
  </si>
  <si>
    <t>Count of Product Name</t>
  </si>
  <si>
    <t>Products</t>
  </si>
  <si>
    <t>Sum of Amount</t>
  </si>
  <si>
    <t>Purchase a</t>
  </si>
  <si>
    <t>Sales A</t>
  </si>
  <si>
    <t>Stock A</t>
  </si>
  <si>
    <t>Sum of Stock Amt</t>
  </si>
  <si>
    <t>p\l</t>
  </si>
  <si>
    <t>Row Labels</t>
  </si>
  <si>
    <t>Grand Total</t>
  </si>
  <si>
    <t>Sum of S Units</t>
  </si>
  <si>
    <t>Notifications!</t>
  </si>
  <si>
    <t>Notifications</t>
  </si>
  <si>
    <t>(blank)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</si>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</sst>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u/>
      <sz val="20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3" fillId="2" borderId="0" xfId="0" applyFont="1" applyFill="1"/>
    <xf numFmtId="0" fontId="2" fillId="2" borderId="0" xfId="1" applyFill="1"/>
    <xf numFmtId="0" fontId="5" fillId="2" borderId="0" xfId="1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4" fontId="7" fillId="2" borderId="0" xfId="0" applyNumberFormat="1" applyFont="1" applyFill="1"/>
    <xf numFmtId="0" fontId="7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0" fillId="0" borderId="0" xfId="0" applyFont="1"/>
    <xf numFmtId="0" fontId="10" fillId="0" borderId="0" xfId="0" pivotButton="1" applyFont="1"/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0" fillId="4" borderId="0" xfId="0" applyFill="1"/>
    <xf numFmtId="0" fontId="13" fillId="4" borderId="0" xfId="0" applyFont="1" applyFill="1"/>
    <xf numFmtId="0" fontId="14" fillId="3" borderId="0" xfId="0" applyFont="1" applyFill="1"/>
    <xf numFmtId="0" fontId="12" fillId="3" borderId="0" xfId="0" applyFont="1" applyFill="1" applyAlignment="1">
      <alignment horizontal="left"/>
    </xf>
    <xf numFmtId="0" fontId="1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78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sz val="18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8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8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8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8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2CCE6"/>
      <color rgb="FF120C50"/>
      <color rgb="FFD7E3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 By Aishwarya Soni.xlsx]Pivot!PivotTable6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Top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5 Products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Pivot!$I$5:$I$10</c:f>
              <c:strCache>
                <c:ptCount val="5"/>
                <c:pt idx="0">
                  <c:v>Rgb Keyboard</c:v>
                </c:pt>
                <c:pt idx="1">
                  <c:v>Camera</c:v>
                </c:pt>
                <c:pt idx="2">
                  <c:v>Wireless Printer</c:v>
                </c:pt>
                <c:pt idx="3">
                  <c:v>Desktop</c:v>
                </c:pt>
                <c:pt idx="4">
                  <c:v>Mouse</c:v>
                </c:pt>
              </c:strCache>
            </c:strRef>
          </c:cat>
          <c:val>
            <c:numRef>
              <c:f>Pivot!$J$5:$J$10</c:f>
              <c:numCache>
                <c:formatCode>General</c:formatCode>
                <c:ptCount val="5"/>
                <c:pt idx="0">
                  <c:v>100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4-46A0-BB92-E77EB10C0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61007"/>
        <c:axId val="670755439"/>
      </c:barChart>
      <c:catAx>
        <c:axId val="86926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5439"/>
        <c:crosses val="autoZero"/>
        <c:auto val="1"/>
        <c:lblAlgn val="ctr"/>
        <c:lblOffset val="100"/>
        <c:noMultiLvlLbl val="0"/>
      </c:catAx>
      <c:valAx>
        <c:axId val="67075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6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 By Aishwarya Soni.xlsx]Pivot!PivotTable7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Top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 5 Customers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90113735783025"/>
          <c:y val="0.25865522018081066"/>
          <c:w val="0.45862182852143479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Pivot!$J$14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Pivot!$I$15:$I$20</c:f>
              <c:strCache>
                <c:ptCount val="5"/>
                <c:pt idx="0">
                  <c:v>Ram sales</c:v>
                </c:pt>
                <c:pt idx="1">
                  <c:v>99store</c:v>
                </c:pt>
                <c:pt idx="2">
                  <c:v>Atul Ltd.</c:v>
                </c:pt>
                <c:pt idx="3">
                  <c:v>Jain Tel.</c:v>
                </c:pt>
                <c:pt idx="4">
                  <c:v>MK Tech.</c:v>
                </c:pt>
              </c:strCache>
            </c:strRef>
          </c:cat>
          <c:val>
            <c:numRef>
              <c:f>Pivot!$J$15:$J$20</c:f>
              <c:numCache>
                <c:formatCode>General</c:formatCode>
                <c:ptCount val="5"/>
                <c:pt idx="0">
                  <c:v>2507760</c:v>
                </c:pt>
                <c:pt idx="1">
                  <c:v>1260000</c:v>
                </c:pt>
                <c:pt idx="2">
                  <c:v>1119000</c:v>
                </c:pt>
                <c:pt idx="3">
                  <c:v>648120</c:v>
                </c:pt>
                <c:pt idx="4">
                  <c:v>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6-4648-AF78-1A9770501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27680"/>
        <c:axId val="2077670384"/>
      </c:barChart>
      <c:catAx>
        <c:axId val="189192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0384"/>
        <c:crosses val="autoZero"/>
        <c:auto val="1"/>
        <c:lblAlgn val="ctr"/>
        <c:lblOffset val="100"/>
        <c:noMultiLvlLbl val="0"/>
      </c:catAx>
      <c:valAx>
        <c:axId val="20776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 By Aishwarya Soni.xlsx]Pivot!PivotTable8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Pivot!$A$25:$A$36</c:f>
              <c:strCache>
                <c:ptCount val="11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  <c:pt idx="10">
                  <c:v>(blank)</c:v>
                </c:pt>
              </c:strCache>
            </c:strRef>
          </c:cat>
          <c:val>
            <c:numRef>
              <c:f>Pivot!$B$25:$B$36</c:f>
              <c:numCache>
                <c:formatCode>General</c:formatCode>
                <c:ptCount val="11"/>
                <c:pt idx="0">
                  <c:v>51950</c:v>
                </c:pt>
                <c:pt idx="1">
                  <c:v>20950</c:v>
                </c:pt>
                <c:pt idx="2">
                  <c:v>779</c:v>
                </c:pt>
                <c:pt idx="3">
                  <c:v>34490</c:v>
                </c:pt>
                <c:pt idx="4">
                  <c:v>150</c:v>
                </c:pt>
                <c:pt idx="5">
                  <c:v>580</c:v>
                </c:pt>
                <c:pt idx="6">
                  <c:v>970</c:v>
                </c:pt>
                <c:pt idx="7">
                  <c:v>640</c:v>
                </c:pt>
                <c:pt idx="8">
                  <c:v>23475</c:v>
                </c:pt>
                <c:pt idx="9">
                  <c:v>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6-47F9-BB92-B3C6D5B81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687136"/>
        <c:axId val="2077632464"/>
        <c:axId val="0"/>
      </c:bar3DChart>
      <c:catAx>
        <c:axId val="10068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32464"/>
        <c:crosses val="autoZero"/>
        <c:auto val="1"/>
        <c:lblAlgn val="ctr"/>
        <c:lblOffset val="100"/>
        <c:noMultiLvlLbl val="0"/>
      </c:catAx>
      <c:valAx>
        <c:axId val="20776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87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hyperlink" Target="#Customer!A1"/><Relationship Id="rId3" Type="http://schemas.openxmlformats.org/officeDocument/2006/relationships/hyperlink" Target="#Vendors!A1"/><Relationship Id="rId21" Type="http://schemas.openxmlformats.org/officeDocument/2006/relationships/image" Target="../media/image14.svg"/><Relationship Id="rId7" Type="http://schemas.openxmlformats.org/officeDocument/2006/relationships/hyperlink" Target="#Inventory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8.svg"/><Relationship Id="rId2" Type="http://schemas.openxmlformats.org/officeDocument/2006/relationships/hyperlink" Target="#Product!A1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29" Type="http://schemas.openxmlformats.org/officeDocument/2006/relationships/chart" Target="../charts/chart2.xml"/><Relationship Id="rId1" Type="http://schemas.openxmlformats.org/officeDocument/2006/relationships/hyperlink" Target="#Dashborad!A1"/><Relationship Id="rId6" Type="http://schemas.openxmlformats.org/officeDocument/2006/relationships/hyperlink" Target="#Sales!A1"/><Relationship Id="rId11" Type="http://schemas.openxmlformats.org/officeDocument/2006/relationships/image" Target="../media/image4.svg"/><Relationship Id="rId24" Type="http://schemas.openxmlformats.org/officeDocument/2006/relationships/image" Target="../media/image17.png"/><Relationship Id="rId5" Type="http://schemas.openxmlformats.org/officeDocument/2006/relationships/hyperlink" Target="#Purchase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28" Type="http://schemas.openxmlformats.org/officeDocument/2006/relationships/chart" Target="../charts/chart1.xml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'New Entry'!A1"/><Relationship Id="rId9" Type="http://schemas.openxmlformats.org/officeDocument/2006/relationships/image" Target="../media/image2.svg"/><Relationship Id="rId14" Type="http://schemas.openxmlformats.org/officeDocument/2006/relationships/image" Target="../media/image7.png"/><Relationship Id="rId22" Type="http://schemas.openxmlformats.org/officeDocument/2006/relationships/image" Target="../media/image15.png"/><Relationship Id="rId27" Type="http://schemas.openxmlformats.org/officeDocument/2006/relationships/hyperlink" Target="#Vendor!A1"/><Relationship Id="rId30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21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22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24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23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6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25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2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2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30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29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Product!A1"/><Relationship Id="rId21" Type="http://schemas.openxmlformats.org/officeDocument/2006/relationships/image" Target="../media/image31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32.svg"/><Relationship Id="rId27" Type="http://schemas.openxmlformats.org/officeDocument/2006/relationships/hyperlink" Target="#Vendor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34.svg"/><Relationship Id="rId3" Type="http://schemas.openxmlformats.org/officeDocument/2006/relationships/hyperlink" Target="#Product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33.png"/><Relationship Id="rId2" Type="http://schemas.openxmlformats.org/officeDocument/2006/relationships/hyperlink" Target="#Customer!A1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hyperlink" Target="#Dashbora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Vendors!A1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hyperlink" Target="#Vendo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2A0138-384A-9DBD-E3A9-7E5F078645CE}"/>
            </a:ext>
          </a:extLst>
        </xdr:cNvPr>
        <xdr:cNvSpPr/>
      </xdr:nvSpPr>
      <xdr:spPr>
        <a:xfrm>
          <a:off x="168487" y="910706"/>
          <a:ext cx="2341033" cy="104509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0</xdr:rowOff>
    </xdr:to>
    <xdr:sp macro="" textlink="">
      <xdr:nvSpPr>
        <xdr:cNvPr id="6" name="TextBox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0365E-5593-2E94-AB81-820D8B765885}"/>
            </a:ext>
          </a:extLst>
        </xdr:cNvPr>
        <xdr:cNvSpPr txBox="1"/>
      </xdr:nvSpPr>
      <xdr:spPr>
        <a:xfrm>
          <a:off x="745067" y="1923311"/>
          <a:ext cx="168317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226711</xdr:colOff>
      <xdr:row>12</xdr:row>
      <xdr:rowOff>0</xdr:rowOff>
    </xdr:from>
    <xdr:to>
      <xdr:col>1</xdr:col>
      <xdr:colOff>2075852</xdr:colOff>
      <xdr:row>12</xdr:row>
      <xdr:rowOff>162250</xdr:rowOff>
    </xdr:to>
    <xdr:sp macro="" textlink="">
      <xdr:nvSpPr>
        <xdr:cNvPr id="8" name="TextBox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71D1F5-212A-4473-AC4E-59061FCB656F}"/>
            </a:ext>
          </a:extLst>
        </xdr:cNvPr>
        <xdr:cNvSpPr txBox="1"/>
      </xdr:nvSpPr>
      <xdr:spPr>
        <a:xfrm>
          <a:off x="226711" y="300425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13</xdr:row>
      <xdr:rowOff>104420</xdr:rowOff>
    </xdr:from>
    <xdr:to>
      <xdr:col>2</xdr:col>
      <xdr:colOff>10265</xdr:colOff>
      <xdr:row>15</xdr:row>
      <xdr:rowOff>20601</xdr:rowOff>
    </xdr:to>
    <xdr:sp macro="" textlink="">
      <xdr:nvSpPr>
        <xdr:cNvPr id="9" name="TextBox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227B63-9556-467E-8CE0-FBDA11881C35}"/>
            </a:ext>
          </a:extLst>
        </xdr:cNvPr>
        <xdr:cNvSpPr txBox="1"/>
      </xdr:nvSpPr>
      <xdr:spPr>
        <a:xfrm>
          <a:off x="239306" y="341150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16</xdr:row>
      <xdr:rowOff>21087</xdr:rowOff>
    </xdr:from>
    <xdr:to>
      <xdr:col>2</xdr:col>
      <xdr:colOff>54347</xdr:colOff>
      <xdr:row>17</xdr:row>
      <xdr:rowOff>119895</xdr:rowOff>
    </xdr:to>
    <xdr:sp macro="" textlink="">
      <xdr:nvSpPr>
        <xdr:cNvPr id="10" name="TextBox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A9CE3F-A23F-47BB-B23D-CE0B1748B1A2}"/>
            </a:ext>
          </a:extLst>
        </xdr:cNvPr>
        <xdr:cNvSpPr txBox="1"/>
      </xdr:nvSpPr>
      <xdr:spPr>
        <a:xfrm>
          <a:off x="282947" y="387680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18</xdr:row>
      <xdr:rowOff>73653</xdr:rowOff>
    </xdr:from>
    <xdr:to>
      <xdr:col>2</xdr:col>
      <xdr:colOff>6298</xdr:colOff>
      <xdr:row>19</xdr:row>
      <xdr:rowOff>172965</xdr:rowOff>
    </xdr:to>
    <xdr:sp macro="" textlink="">
      <xdr:nvSpPr>
        <xdr:cNvPr id="11" name="TextBox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C964B7-5AE6-445D-B689-DEDD0DBB7C8A}"/>
            </a:ext>
          </a:extLst>
        </xdr:cNvPr>
        <xdr:cNvSpPr txBox="1"/>
      </xdr:nvSpPr>
      <xdr:spPr>
        <a:xfrm>
          <a:off x="234898" y="429513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20</xdr:row>
      <xdr:rowOff>101484</xdr:rowOff>
    </xdr:from>
    <xdr:to>
      <xdr:col>1</xdr:col>
      <xdr:colOff>1957970</xdr:colOff>
      <xdr:row>22</xdr:row>
      <xdr:rowOff>17664</xdr:rowOff>
    </xdr:to>
    <xdr:sp macro="" textlink="">
      <xdr:nvSpPr>
        <xdr:cNvPr id="12" name="TextBox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E1ACE7-8CEF-467D-BF9D-FE9FCE82C824}"/>
            </a:ext>
          </a:extLst>
        </xdr:cNvPr>
        <xdr:cNvSpPr txBox="1"/>
      </xdr:nvSpPr>
      <xdr:spPr>
        <a:xfrm>
          <a:off x="106751" y="4766617"/>
          <a:ext cx="2105219" cy="288714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22</xdr:row>
      <xdr:rowOff>135510</xdr:rowOff>
    </xdr:from>
    <xdr:to>
      <xdr:col>1</xdr:col>
      <xdr:colOff>2056239</xdr:colOff>
      <xdr:row>24</xdr:row>
      <xdr:rowOff>51690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3FC6A4C-6F8C-482B-9341-59560B3B96EC}"/>
            </a:ext>
          </a:extLst>
        </xdr:cNvPr>
        <xdr:cNvSpPr txBox="1"/>
      </xdr:nvSpPr>
      <xdr:spPr>
        <a:xfrm>
          <a:off x="204579" y="5173177"/>
          <a:ext cx="2105660" cy="288713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22</xdr:row>
      <xdr:rowOff>75193</xdr:rowOff>
    </xdr:from>
    <xdr:to>
      <xdr:col>1</xdr:col>
      <xdr:colOff>1752600</xdr:colOff>
      <xdr:row>22</xdr:row>
      <xdr:rowOff>127001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3555C9-6785-4125-97CE-E12A4C905F06}"/>
            </a:ext>
          </a:extLst>
        </xdr:cNvPr>
        <xdr:cNvSpPr txBox="1"/>
      </xdr:nvSpPr>
      <xdr:spPr>
        <a:xfrm>
          <a:off x="281835" y="711099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7" name="Graphic 16" descr="List with solid fill">
          <a:extLst>
            <a:ext uri="{FF2B5EF4-FFF2-40B4-BE49-F238E27FC236}">
              <a16:creationId xmlns:a16="http://schemas.microsoft.com/office/drawing/2014/main" id="{8564CB57-88CC-BE0A-0F89-A2A7EE8C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00760" y="169335"/>
          <a:ext cx="624840" cy="636060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110835</xdr:colOff>
      <xdr:row>0</xdr:row>
      <xdr:rowOff>180802</xdr:rowOff>
    </xdr:from>
    <xdr:to>
      <xdr:col>26</xdr:col>
      <xdr:colOff>76200</xdr:colOff>
      <xdr:row>4</xdr:row>
      <xdr:rowOff>97675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E87601-5903-EE91-02A9-538614297485}"/>
            </a:ext>
          </a:extLst>
        </xdr:cNvPr>
        <xdr:cNvSpPr/>
      </xdr:nvSpPr>
      <xdr:spPr>
        <a:xfrm>
          <a:off x="2434935" y="180802"/>
          <a:ext cx="14405265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latin typeface="Arial Black" panose="020B0A04020102020204" pitchFamily="34" charset="0"/>
            </a:rPr>
            <a:t>   Inventory</a:t>
          </a:r>
          <a:r>
            <a:rPr lang="en-IN" sz="2800" b="1" baseline="0">
              <a:latin typeface="Arial Black" panose="020B0A04020102020204" pitchFamily="34" charset="0"/>
            </a:rPr>
            <a:t> Management System</a:t>
          </a:r>
          <a:endParaRPr lang="en-IN" sz="28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223232</xdr:colOff>
      <xdr:row>10</xdr:row>
      <xdr:rowOff>142772</xdr:rowOff>
    </xdr:from>
    <xdr:to>
      <xdr:col>1</xdr:col>
      <xdr:colOff>439232</xdr:colOff>
      <xdr:row>11</xdr:row>
      <xdr:rowOff>176145</xdr:rowOff>
    </xdr:to>
    <xdr:pic>
      <xdr:nvPicPr>
        <xdr:cNvPr id="19" name="Graphic 18" descr="Bar graph with upward trend with solid fill">
          <a:extLst>
            <a:ext uri="{FF2B5EF4-FFF2-40B4-BE49-F238E27FC236}">
              <a16:creationId xmlns:a16="http://schemas.microsoft.com/office/drawing/2014/main" id="{B9154BF3-93B5-51BD-AB9C-68B99BEB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7232" y="2005439"/>
          <a:ext cx="216000" cy="219639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12</xdr:row>
      <xdr:rowOff>100243</xdr:rowOff>
    </xdr:from>
    <xdr:to>
      <xdr:col>1</xdr:col>
      <xdr:colOff>439233</xdr:colOff>
      <xdr:row>13</xdr:row>
      <xdr:rowOff>19064</xdr:rowOff>
    </xdr:to>
    <xdr:pic>
      <xdr:nvPicPr>
        <xdr:cNvPr id="21" name="Graphic 20" descr="Target Audience with solid fill">
          <a:extLst>
            <a:ext uri="{FF2B5EF4-FFF2-40B4-BE49-F238E27FC236}">
              <a16:creationId xmlns:a16="http://schemas.microsoft.com/office/drawing/2014/main" id="{9F780A8B-A711-CD45-23C9-484C1700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77233" y="234391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18</xdr:row>
      <xdr:rowOff>123955</xdr:rowOff>
    </xdr:from>
    <xdr:to>
      <xdr:col>1</xdr:col>
      <xdr:colOff>481566</xdr:colOff>
      <xdr:row>19</xdr:row>
      <xdr:rowOff>71349</xdr:rowOff>
    </xdr:to>
    <xdr:pic>
      <xdr:nvPicPr>
        <xdr:cNvPr id="23" name="Graphic 22" descr="Male profile with solid fill">
          <a:extLst>
            <a:ext uri="{FF2B5EF4-FFF2-40B4-BE49-F238E27FC236}">
              <a16:creationId xmlns:a16="http://schemas.microsoft.com/office/drawing/2014/main" id="{0FED45F0-6D4A-2E12-51CC-ED455178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 flipH="1">
          <a:off x="519566" y="3604813"/>
          <a:ext cx="216000" cy="219386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16</xdr:row>
      <xdr:rowOff>95615</xdr:rowOff>
    </xdr:from>
    <xdr:to>
      <xdr:col>1</xdr:col>
      <xdr:colOff>481566</xdr:colOff>
      <xdr:row>17</xdr:row>
      <xdr:rowOff>132122</xdr:rowOff>
    </xdr:to>
    <xdr:pic>
      <xdr:nvPicPr>
        <xdr:cNvPr id="25" name="Graphic 24" descr="Meeting with solid fill">
          <a:extLst>
            <a:ext uri="{FF2B5EF4-FFF2-40B4-BE49-F238E27FC236}">
              <a16:creationId xmlns:a16="http://schemas.microsoft.com/office/drawing/2014/main" id="{F66D266B-206A-0F8C-FF7B-4149A165A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 flipH="1">
          <a:off x="519566" y="3203940"/>
          <a:ext cx="216000" cy="222774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14</xdr:row>
      <xdr:rowOff>10896</xdr:rowOff>
    </xdr:from>
    <xdr:to>
      <xdr:col>1</xdr:col>
      <xdr:colOff>498785</xdr:colOff>
      <xdr:row>15</xdr:row>
      <xdr:rowOff>105870</xdr:rowOff>
    </xdr:to>
    <xdr:pic>
      <xdr:nvPicPr>
        <xdr:cNvPr id="27" name="Graphic 26" descr="Robot with solid fill">
          <a:extLst>
            <a:ext uri="{FF2B5EF4-FFF2-40B4-BE49-F238E27FC236}">
              <a16:creationId xmlns:a16="http://schemas.microsoft.com/office/drawing/2014/main" id="{44CAC7D6-91AD-D02E-1583-71C443F95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 flipH="1">
          <a:off x="468766" y="2741396"/>
          <a:ext cx="284019" cy="286532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22</xdr:row>
      <xdr:rowOff>159305</xdr:rowOff>
    </xdr:from>
    <xdr:to>
      <xdr:col>1</xdr:col>
      <xdr:colOff>536792</xdr:colOff>
      <xdr:row>24</xdr:row>
      <xdr:rowOff>42313</xdr:rowOff>
    </xdr:to>
    <xdr:pic>
      <xdr:nvPicPr>
        <xdr:cNvPr id="31" name="Graphic 30" descr="Business Growth with solid fill">
          <a:extLst>
            <a:ext uri="{FF2B5EF4-FFF2-40B4-BE49-F238E27FC236}">
              <a16:creationId xmlns:a16="http://schemas.microsoft.com/office/drawing/2014/main" id="{696F6BCF-A126-C3BE-B6B8-B5EE464A7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44965" y="4470955"/>
          <a:ext cx="245827" cy="255541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20</xdr:row>
      <xdr:rowOff>71648</xdr:rowOff>
    </xdr:from>
    <xdr:to>
      <xdr:col>1</xdr:col>
      <xdr:colOff>466971</xdr:colOff>
      <xdr:row>21</xdr:row>
      <xdr:rowOff>170648</xdr:rowOff>
    </xdr:to>
    <xdr:pic>
      <xdr:nvPicPr>
        <xdr:cNvPr id="33" name="Graphic 32" descr="Handshake with solid fill">
          <a:extLst>
            <a:ext uri="{FF2B5EF4-FFF2-40B4-BE49-F238E27FC236}">
              <a16:creationId xmlns:a16="http://schemas.microsoft.com/office/drawing/2014/main" id="{975F8003-19BB-9FA1-643E-C30A08232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34899" y="4010765"/>
          <a:ext cx="286072" cy="290558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24</xdr:row>
      <xdr:rowOff>164322</xdr:rowOff>
    </xdr:from>
    <xdr:to>
      <xdr:col>1</xdr:col>
      <xdr:colOff>535421</xdr:colOff>
      <xdr:row>26</xdr:row>
      <xdr:rowOff>48474</xdr:rowOff>
    </xdr:to>
    <xdr:pic>
      <xdr:nvPicPr>
        <xdr:cNvPr id="35" name="Graphic 34" descr="Document with solid fill">
          <a:extLst>
            <a:ext uri="{FF2B5EF4-FFF2-40B4-BE49-F238E27FC236}">
              <a16:creationId xmlns:a16="http://schemas.microsoft.com/office/drawing/2014/main" id="{6B8DA7FD-DD81-3013-3A22-E2638AF5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544965" y="4853797"/>
          <a:ext cx="244456" cy="251394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10</xdr:row>
      <xdr:rowOff>13239</xdr:rowOff>
    </xdr:from>
    <xdr:to>
      <xdr:col>1</xdr:col>
      <xdr:colOff>1831900</xdr:colOff>
      <xdr:row>11</xdr:row>
      <xdr:rowOff>177799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61FF45-3667-43C6-B5AB-2056389DB1F9}"/>
            </a:ext>
          </a:extLst>
        </xdr:cNvPr>
        <xdr:cNvSpPr/>
      </xdr:nvSpPr>
      <xdr:spPr>
        <a:xfrm>
          <a:off x="705832" y="1875906"/>
          <a:ext cx="1380068" cy="35082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12</xdr:row>
      <xdr:rowOff>62060</xdr:rowOff>
    </xdr:from>
    <xdr:to>
      <xdr:col>1</xdr:col>
      <xdr:colOff>1789566</xdr:colOff>
      <xdr:row>13</xdr:row>
      <xdr:rowOff>84851</xdr:rowOff>
    </xdr:to>
    <xdr:sp macro="" textlink="">
      <xdr:nvSpPr>
        <xdr:cNvPr id="4" name="Rectangle 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DF5D7C3-6280-4B82-9D1E-A9C2D8667C77}"/>
            </a:ext>
          </a:extLst>
        </xdr:cNvPr>
        <xdr:cNvSpPr/>
      </xdr:nvSpPr>
      <xdr:spPr>
        <a:xfrm>
          <a:off x="705832" y="2305727"/>
          <a:ext cx="1337734" cy="32864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0</xdr:col>
      <xdr:colOff>151554</xdr:colOff>
      <xdr:row>8</xdr:row>
      <xdr:rowOff>477315</xdr:rowOff>
    </xdr:from>
    <xdr:to>
      <xdr:col>3</xdr:col>
      <xdr:colOff>42334</xdr:colOff>
      <xdr:row>8</xdr:row>
      <xdr:rowOff>887408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042DEA6-1026-4594-9425-988F8AB122A1}"/>
            </a:ext>
          </a:extLst>
        </xdr:cNvPr>
        <xdr:cNvSpPr/>
      </xdr:nvSpPr>
      <xdr:spPr>
        <a:xfrm>
          <a:off x="151554" y="3152782"/>
          <a:ext cx="2346113" cy="4100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20</xdr:row>
      <xdr:rowOff>28504</xdr:rowOff>
    </xdr:from>
    <xdr:to>
      <xdr:col>1</xdr:col>
      <xdr:colOff>1704898</xdr:colOff>
      <xdr:row>21</xdr:row>
      <xdr:rowOff>167146</xdr:rowOff>
    </xdr:to>
    <xdr:sp macro="" textlink="">
      <xdr:nvSpPr>
        <xdr:cNvPr id="18" name="Rectangle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7D8ACB-FC42-4795-87FC-1A89441331C7}"/>
            </a:ext>
          </a:extLst>
        </xdr:cNvPr>
        <xdr:cNvSpPr/>
      </xdr:nvSpPr>
      <xdr:spPr>
        <a:xfrm>
          <a:off x="697365" y="3967621"/>
          <a:ext cx="1261533" cy="33020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16</xdr:row>
      <xdr:rowOff>32569</xdr:rowOff>
    </xdr:from>
    <xdr:to>
      <xdr:col>1</xdr:col>
      <xdr:colOff>1583267</xdr:colOff>
      <xdr:row>18</xdr:row>
      <xdr:rowOff>8638</xdr:rowOff>
    </xdr:to>
    <xdr:sp macro="" textlink="">
      <xdr:nvSpPr>
        <xdr:cNvPr id="16" name="Rectangle 1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7C7FDAA-0E55-4020-80B0-9AD76BFAA8ED}"/>
            </a:ext>
          </a:extLst>
        </xdr:cNvPr>
        <xdr:cNvSpPr/>
      </xdr:nvSpPr>
      <xdr:spPr>
        <a:xfrm>
          <a:off x="680433" y="3135602"/>
          <a:ext cx="1156834" cy="34860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22</xdr:row>
      <xdr:rowOff>73632</xdr:rowOff>
    </xdr:from>
    <xdr:to>
      <xdr:col>1</xdr:col>
      <xdr:colOff>1374698</xdr:colOff>
      <xdr:row>24</xdr:row>
      <xdr:rowOff>20485</xdr:rowOff>
    </xdr:to>
    <xdr:sp macro="" textlink="">
      <xdr:nvSpPr>
        <xdr:cNvPr id="20" name="Rectangle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AF6FE7-EC95-43BE-8DEE-8DAE078499C0}"/>
            </a:ext>
          </a:extLst>
        </xdr:cNvPr>
        <xdr:cNvSpPr/>
      </xdr:nvSpPr>
      <xdr:spPr>
        <a:xfrm>
          <a:off x="731232" y="4385282"/>
          <a:ext cx="897466" cy="31938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24</xdr:row>
      <xdr:rowOff>116416</xdr:rowOff>
    </xdr:from>
    <xdr:to>
      <xdr:col>1</xdr:col>
      <xdr:colOff>1739613</xdr:colOff>
      <xdr:row>26</xdr:row>
      <xdr:rowOff>57149</xdr:rowOff>
    </xdr:to>
    <xdr:sp macro="" textlink="">
      <xdr:nvSpPr>
        <xdr:cNvPr id="22" name="Rectangle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FC243EF-5761-43C9-9A0A-EFFCB4CA9866}"/>
            </a:ext>
          </a:extLst>
        </xdr:cNvPr>
        <xdr:cNvSpPr/>
      </xdr:nvSpPr>
      <xdr:spPr>
        <a:xfrm>
          <a:off x="731232" y="4800599"/>
          <a:ext cx="1262381" cy="31326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13</xdr:row>
      <xdr:rowOff>163846</xdr:rowOff>
    </xdr:from>
    <xdr:to>
      <xdr:col>1</xdr:col>
      <xdr:colOff>1594833</xdr:colOff>
      <xdr:row>15</xdr:row>
      <xdr:rowOff>134549</xdr:rowOff>
    </xdr:to>
    <xdr:sp macro="" textlink="">
      <xdr:nvSpPr>
        <xdr:cNvPr id="26" name="Rectangl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9D5529-9C44-467F-BC66-E295312CA615}"/>
            </a:ext>
          </a:extLst>
        </xdr:cNvPr>
        <xdr:cNvSpPr/>
      </xdr:nvSpPr>
      <xdr:spPr>
        <a:xfrm>
          <a:off x="705832" y="2713371"/>
          <a:ext cx="1143001" cy="34323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18</xdr:row>
      <xdr:rowOff>73875</xdr:rowOff>
    </xdr:from>
    <xdr:to>
      <xdr:col>1</xdr:col>
      <xdr:colOff>1831899</xdr:colOff>
      <xdr:row>19</xdr:row>
      <xdr:rowOff>152709</xdr:rowOff>
    </xdr:to>
    <xdr:sp macro="" textlink="">
      <xdr:nvSpPr>
        <xdr:cNvPr id="28" name="Rectangle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560236-2F0F-4420-A3F0-C31D54B3768C}"/>
            </a:ext>
          </a:extLst>
        </xdr:cNvPr>
        <xdr:cNvSpPr/>
      </xdr:nvSpPr>
      <xdr:spPr>
        <a:xfrm>
          <a:off x="739699" y="3554733"/>
          <a:ext cx="1346200" cy="35082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135467</xdr:colOff>
      <xdr:row>3</xdr:row>
      <xdr:rowOff>143934</xdr:rowOff>
    </xdr:from>
    <xdr:to>
      <xdr:col>1</xdr:col>
      <xdr:colOff>2015067</xdr:colOff>
      <xdr:row>9</xdr:row>
      <xdr:rowOff>114300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BFF7964-EFE4-4032-81A6-A95B26F7600A}"/>
            </a:ext>
          </a:extLst>
        </xdr:cNvPr>
        <xdr:cNvSpPr/>
      </xdr:nvSpPr>
      <xdr:spPr>
        <a:xfrm>
          <a:off x="383117" y="686859"/>
          <a:ext cx="1879600" cy="105621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104775</xdr:colOff>
      <xdr:row>4</xdr:row>
      <xdr:rowOff>161925</xdr:rowOff>
    </xdr:from>
    <xdr:to>
      <xdr:col>6</xdr:col>
      <xdr:colOff>342900</xdr:colOff>
      <xdr:row>10</xdr:row>
      <xdr:rowOff>133350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0239FD2-08D4-24B0-DDD4-C5261ADB3BF2}"/>
            </a:ext>
          </a:extLst>
        </xdr:cNvPr>
        <xdr:cNvSpPr/>
      </xdr:nvSpPr>
      <xdr:spPr>
        <a:xfrm>
          <a:off x="2428875" y="885825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4</xdr:row>
      <xdr:rowOff>171449</xdr:rowOff>
    </xdr:from>
    <xdr:to>
      <xdr:col>3</xdr:col>
      <xdr:colOff>209550</xdr:colOff>
      <xdr:row>10</xdr:row>
      <xdr:rowOff>142874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63F4170-F573-41CC-B436-749B88FEC6B7}"/>
            </a:ext>
          </a:extLst>
        </xdr:cNvPr>
        <xdr:cNvSpPr/>
      </xdr:nvSpPr>
      <xdr:spPr>
        <a:xfrm>
          <a:off x="2438400" y="895349"/>
          <a:ext cx="209550" cy="105727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/>
        </a:p>
      </xdr:txBody>
    </xdr:sp>
    <xdr:clientData/>
  </xdr:twoCellAnchor>
  <xdr:twoCellAnchor editAs="absolute">
    <xdr:from>
      <xdr:col>6</xdr:col>
      <xdr:colOff>590550</xdr:colOff>
      <xdr:row>4</xdr:row>
      <xdr:rowOff>161925</xdr:rowOff>
    </xdr:from>
    <xdr:to>
      <xdr:col>10</xdr:col>
      <xdr:colOff>333375</xdr:colOff>
      <xdr:row>10</xdr:row>
      <xdr:rowOff>133350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10E3293-CB78-4303-BC8C-DB752C1FAD9C}"/>
            </a:ext>
          </a:extLst>
        </xdr:cNvPr>
        <xdr:cNvSpPr/>
      </xdr:nvSpPr>
      <xdr:spPr>
        <a:xfrm>
          <a:off x="4857750" y="885825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 baseline="0">
              <a:solidFill>
                <a:schemeClr val="dk1"/>
              </a:solidFill>
            </a:rPr>
            <a:t>   </a:t>
          </a:r>
          <a:r>
            <a:rPr lang="en-IN" sz="2000" b="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6</xdr:col>
      <xdr:colOff>600075</xdr:colOff>
      <xdr:row>4</xdr:row>
      <xdr:rowOff>171449</xdr:rowOff>
    </xdr:from>
    <xdr:to>
      <xdr:col>7</xdr:col>
      <xdr:colOff>200025</xdr:colOff>
      <xdr:row>10</xdr:row>
      <xdr:rowOff>142874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7F52D1D-52B5-4E0D-93FA-4BC62A5CC538}"/>
            </a:ext>
          </a:extLst>
        </xdr:cNvPr>
        <xdr:cNvSpPr/>
      </xdr:nvSpPr>
      <xdr:spPr>
        <a:xfrm>
          <a:off x="4867275" y="895349"/>
          <a:ext cx="209550" cy="10572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9525</xdr:colOff>
      <xdr:row>4</xdr:row>
      <xdr:rowOff>171450</xdr:rowOff>
    </xdr:from>
    <xdr:to>
      <xdr:col>14</xdr:col>
      <xdr:colOff>361950</xdr:colOff>
      <xdr:row>10</xdr:row>
      <xdr:rowOff>142875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EB98B65-FAD6-4F7C-AA99-FE09E97D8FE1}"/>
            </a:ext>
          </a:extLst>
        </xdr:cNvPr>
        <xdr:cNvSpPr/>
      </xdr:nvSpPr>
      <xdr:spPr>
        <a:xfrm>
          <a:off x="7324725" y="895350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 </a:t>
          </a:r>
          <a:r>
            <a:rPr lang="en-IN" sz="2000" b="0">
              <a:solidFill>
                <a:schemeClr val="tx1"/>
              </a:solidFill>
            </a:rPr>
            <a:t>Purchase</a:t>
          </a:r>
          <a:r>
            <a:rPr lang="en-IN" sz="2000" b="0" baseline="0">
              <a:solidFill>
                <a:schemeClr val="tx1"/>
              </a:solidFill>
            </a:rPr>
            <a:t> Amt.</a:t>
          </a:r>
          <a:endParaRPr lang="en-IN" sz="20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11</xdr:col>
      <xdr:colOff>19050</xdr:colOff>
      <xdr:row>4</xdr:row>
      <xdr:rowOff>180974</xdr:rowOff>
    </xdr:from>
    <xdr:to>
      <xdr:col>11</xdr:col>
      <xdr:colOff>228600</xdr:colOff>
      <xdr:row>10</xdr:row>
      <xdr:rowOff>152399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48DCA01-86D4-40BD-9EF0-2F992CDD4191}"/>
            </a:ext>
          </a:extLst>
        </xdr:cNvPr>
        <xdr:cNvSpPr/>
      </xdr:nvSpPr>
      <xdr:spPr>
        <a:xfrm>
          <a:off x="7334250" y="904874"/>
          <a:ext cx="209550" cy="1057275"/>
        </a:xfrm>
        <a:prstGeom prst="rect">
          <a:avLst/>
        </a:prstGeom>
        <a:solidFill>
          <a:srgbClr val="D2CCE6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/>
        </a:p>
      </xdr:txBody>
    </xdr:sp>
    <xdr:clientData/>
  </xdr:twoCellAnchor>
  <xdr:twoCellAnchor editAs="absolute">
    <xdr:from>
      <xdr:col>15</xdr:col>
      <xdr:colOff>38100</xdr:colOff>
      <xdr:row>4</xdr:row>
      <xdr:rowOff>171450</xdr:rowOff>
    </xdr:from>
    <xdr:to>
      <xdr:col>17</xdr:col>
      <xdr:colOff>1000125</xdr:colOff>
      <xdr:row>10</xdr:row>
      <xdr:rowOff>142875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7552BF5-66A0-4AE0-8459-A3FF6E6B107E}"/>
            </a:ext>
          </a:extLst>
        </xdr:cNvPr>
        <xdr:cNvSpPr/>
      </xdr:nvSpPr>
      <xdr:spPr>
        <a:xfrm>
          <a:off x="9791700" y="895350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 </a:t>
          </a:r>
          <a:r>
            <a:rPr lang="en-IN" sz="2000" b="0">
              <a:solidFill>
                <a:schemeClr val="tx1"/>
              </a:solidFill>
            </a:rPr>
            <a:t>Sales</a:t>
          </a:r>
          <a:r>
            <a:rPr lang="en-IN" sz="2000" b="0" baseline="0">
              <a:solidFill>
                <a:schemeClr val="tx1"/>
              </a:solidFill>
            </a:rPr>
            <a:t> Amt.</a:t>
          </a:r>
          <a:endParaRPr lang="en-IN" sz="20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15</xdr:col>
      <xdr:colOff>47625</xdr:colOff>
      <xdr:row>4</xdr:row>
      <xdr:rowOff>180974</xdr:rowOff>
    </xdr:from>
    <xdr:to>
      <xdr:col>15</xdr:col>
      <xdr:colOff>257175</xdr:colOff>
      <xdr:row>10</xdr:row>
      <xdr:rowOff>152399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FCCCB7E-3587-4D97-95F6-B1758D9B8A3B}"/>
            </a:ext>
          </a:extLst>
        </xdr:cNvPr>
        <xdr:cNvSpPr/>
      </xdr:nvSpPr>
      <xdr:spPr>
        <a:xfrm>
          <a:off x="9801225" y="904874"/>
          <a:ext cx="209550" cy="105727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/>
        </a:p>
      </xdr:txBody>
    </xdr:sp>
    <xdr:clientData/>
  </xdr:twoCellAnchor>
  <xdr:twoCellAnchor editAs="absolute">
    <xdr:from>
      <xdr:col>18</xdr:col>
      <xdr:colOff>161925</xdr:colOff>
      <xdr:row>4</xdr:row>
      <xdr:rowOff>152400</xdr:rowOff>
    </xdr:from>
    <xdr:to>
      <xdr:col>22</xdr:col>
      <xdr:colOff>76200</xdr:colOff>
      <xdr:row>10</xdr:row>
      <xdr:rowOff>123825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3C7AAF2-BB74-4D66-BEE0-D49C54147BD1}"/>
            </a:ext>
          </a:extLst>
        </xdr:cNvPr>
        <xdr:cNvSpPr/>
      </xdr:nvSpPr>
      <xdr:spPr>
        <a:xfrm>
          <a:off x="12220575" y="876300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 </a:t>
          </a:r>
          <a:r>
            <a:rPr lang="en-IN" sz="2000" b="0">
              <a:solidFill>
                <a:schemeClr val="tx1"/>
              </a:solidFill>
            </a:rPr>
            <a:t>Stock</a:t>
          </a:r>
          <a:r>
            <a:rPr lang="en-IN" sz="2000" b="0" baseline="0">
              <a:solidFill>
                <a:schemeClr val="tx1"/>
              </a:solidFill>
            </a:rPr>
            <a:t> Amt.</a:t>
          </a:r>
          <a:endParaRPr lang="en-IN" sz="20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18</xdr:col>
      <xdr:colOff>171450</xdr:colOff>
      <xdr:row>4</xdr:row>
      <xdr:rowOff>161924</xdr:rowOff>
    </xdr:from>
    <xdr:to>
      <xdr:col>18</xdr:col>
      <xdr:colOff>381000</xdr:colOff>
      <xdr:row>10</xdr:row>
      <xdr:rowOff>133349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706EA5D-A453-4E49-BA61-B994A8BC4EF2}"/>
            </a:ext>
          </a:extLst>
        </xdr:cNvPr>
        <xdr:cNvSpPr/>
      </xdr:nvSpPr>
      <xdr:spPr>
        <a:xfrm>
          <a:off x="12230100" y="885824"/>
          <a:ext cx="209550" cy="10572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/>
        </a:p>
      </xdr:txBody>
    </xdr:sp>
    <xdr:clientData/>
  </xdr:twoCellAnchor>
  <xdr:twoCellAnchor editAs="absolute">
    <xdr:from>
      <xdr:col>22</xdr:col>
      <xdr:colOff>295275</xdr:colOff>
      <xdr:row>4</xdr:row>
      <xdr:rowOff>133350</xdr:rowOff>
    </xdr:from>
    <xdr:to>
      <xdr:col>26</xdr:col>
      <xdr:colOff>38100</xdr:colOff>
      <xdr:row>10</xdr:row>
      <xdr:rowOff>104775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8B25F82-F09C-400D-9766-E998232CDD0C}"/>
            </a:ext>
          </a:extLst>
        </xdr:cNvPr>
        <xdr:cNvSpPr/>
      </xdr:nvSpPr>
      <xdr:spPr>
        <a:xfrm>
          <a:off x="14620875" y="857250"/>
          <a:ext cx="2181225" cy="1057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 </a:t>
          </a:r>
          <a:r>
            <a:rPr lang="en-IN" sz="2000" b="0">
              <a:solidFill>
                <a:schemeClr val="tx1"/>
              </a:solidFill>
            </a:rPr>
            <a:t>Profit</a:t>
          </a:r>
          <a:r>
            <a:rPr lang="en-IN" sz="2000" b="0" baseline="0">
              <a:solidFill>
                <a:schemeClr val="tx1"/>
              </a:solidFill>
            </a:rPr>
            <a:t> / Loss</a:t>
          </a:r>
          <a:endParaRPr lang="en-IN" sz="20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22</xdr:col>
      <xdr:colOff>304800</xdr:colOff>
      <xdr:row>4</xdr:row>
      <xdr:rowOff>142874</xdr:rowOff>
    </xdr:from>
    <xdr:to>
      <xdr:col>22</xdr:col>
      <xdr:colOff>514350</xdr:colOff>
      <xdr:row>10</xdr:row>
      <xdr:rowOff>114299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E89378B-7EAA-49C3-8068-6168A9583C42}"/>
            </a:ext>
          </a:extLst>
        </xdr:cNvPr>
        <xdr:cNvSpPr/>
      </xdr:nvSpPr>
      <xdr:spPr>
        <a:xfrm>
          <a:off x="14630400" y="866774"/>
          <a:ext cx="209550" cy="1057275"/>
        </a:xfrm>
        <a:prstGeom prst="rect">
          <a:avLst/>
        </a:prstGeom>
        <a:solidFill>
          <a:srgbClr val="D7E3D5"/>
        </a:solidFill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800" b="1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3</xdr:col>
      <xdr:colOff>361951</xdr:colOff>
      <xdr:row>7</xdr:row>
      <xdr:rowOff>161925</xdr:rowOff>
    </xdr:from>
    <xdr:to>
      <xdr:col>5</xdr:col>
      <xdr:colOff>38100</xdr:colOff>
      <xdr:row>10</xdr:row>
      <xdr:rowOff>9525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E4D6766-7C60-9F18-1380-6E53A362CA40}"/>
            </a:ext>
          </a:extLst>
        </xdr:cNvPr>
        <xdr:cNvSpPr/>
      </xdr:nvSpPr>
      <xdr:spPr>
        <a:xfrm>
          <a:off x="2800351" y="1428750"/>
          <a:ext cx="895349" cy="390525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/>
            <a:t>7</a:t>
          </a:r>
        </a:p>
      </xdr:txBody>
    </xdr:sp>
    <xdr:clientData/>
  </xdr:twoCellAnchor>
  <xdr:twoCellAnchor editAs="absolute">
    <xdr:from>
      <xdr:col>7</xdr:col>
      <xdr:colOff>333374</xdr:colOff>
      <xdr:row>7</xdr:row>
      <xdr:rowOff>114301</xdr:rowOff>
    </xdr:from>
    <xdr:to>
      <xdr:col>8</xdr:col>
      <xdr:colOff>400049</xdr:colOff>
      <xdr:row>10</xdr:row>
      <xdr:rowOff>114300</xdr:rowOff>
    </xdr:to>
    <xdr:sp macro="" textlink="Pivot!C7">
      <xdr:nvSpPr>
        <xdr:cNvPr id="64" name="Rectangle 63">
          <a:extLst>
            <a:ext uri="{FF2B5EF4-FFF2-40B4-BE49-F238E27FC236}">
              <a16:creationId xmlns:a16="http://schemas.microsoft.com/office/drawing/2014/main" id="{C7D359C3-B5A1-3739-91BA-E5413301D7DC}"/>
            </a:ext>
          </a:extLst>
        </xdr:cNvPr>
        <xdr:cNvSpPr/>
      </xdr:nvSpPr>
      <xdr:spPr>
        <a:xfrm>
          <a:off x="5210174" y="1381126"/>
          <a:ext cx="676275" cy="542924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01F19988-B0A6-47D3-B89B-2CD41BE7841D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ctr"/>
            <a:t>10</a:t>
          </a:fld>
          <a:endParaRPr lang="en-IN" sz="2000" b="1"/>
        </a:p>
      </xdr:txBody>
    </xdr:sp>
    <xdr:clientData/>
  </xdr:twoCellAnchor>
  <xdr:twoCellAnchor editAs="absolute">
    <xdr:from>
      <xdr:col>11</xdr:col>
      <xdr:colOff>514350</xdr:colOff>
      <xdr:row>7</xdr:row>
      <xdr:rowOff>133350</xdr:rowOff>
    </xdr:from>
    <xdr:to>
      <xdr:col>14</xdr:col>
      <xdr:colOff>95250</xdr:colOff>
      <xdr:row>9</xdr:row>
      <xdr:rowOff>142875</xdr:rowOff>
    </xdr:to>
    <xdr:sp macro="" textlink="Pivot!C11">
      <xdr:nvSpPr>
        <xdr:cNvPr id="65" name="Rectangle 64">
          <a:extLst>
            <a:ext uri="{FF2B5EF4-FFF2-40B4-BE49-F238E27FC236}">
              <a16:creationId xmlns:a16="http://schemas.microsoft.com/office/drawing/2014/main" id="{C2549129-0172-6E8C-1769-4DDC12B34852}"/>
            </a:ext>
          </a:extLst>
        </xdr:cNvPr>
        <xdr:cNvSpPr/>
      </xdr:nvSpPr>
      <xdr:spPr>
        <a:xfrm>
          <a:off x="7829550" y="1400175"/>
          <a:ext cx="1409700" cy="371475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42BBB60-4AE0-4D0F-8114-2315A027EF74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₹ 28,35,980</a:t>
          </a:fld>
          <a:endParaRPr lang="en-IN" sz="2000" b="1"/>
        </a:p>
      </xdr:txBody>
    </xdr:sp>
    <xdr:clientData/>
  </xdr:twoCellAnchor>
  <xdr:twoCellAnchor editAs="absolute">
    <xdr:from>
      <xdr:col>15</xdr:col>
      <xdr:colOff>447675</xdr:colOff>
      <xdr:row>7</xdr:row>
      <xdr:rowOff>142874</xdr:rowOff>
    </xdr:from>
    <xdr:to>
      <xdr:col>17</xdr:col>
      <xdr:colOff>781050</xdr:colOff>
      <xdr:row>10</xdr:row>
      <xdr:rowOff>28574</xdr:rowOff>
    </xdr:to>
    <xdr:sp macro="" textlink="Pivot!C15">
      <xdr:nvSpPr>
        <xdr:cNvPr id="67" name="Rectangle 66">
          <a:extLst>
            <a:ext uri="{FF2B5EF4-FFF2-40B4-BE49-F238E27FC236}">
              <a16:creationId xmlns:a16="http://schemas.microsoft.com/office/drawing/2014/main" id="{29B56375-7944-ACA1-093C-CC81C7F3C5A5}"/>
            </a:ext>
          </a:extLst>
        </xdr:cNvPr>
        <xdr:cNvSpPr/>
      </xdr:nvSpPr>
      <xdr:spPr>
        <a:xfrm>
          <a:off x="10201275" y="1409699"/>
          <a:ext cx="1552575" cy="428625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7E82136-98CB-413A-866B-CA3B0ACC5A56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₹ 58,82,856</a:t>
          </a:fld>
          <a:endParaRPr lang="en-IN" sz="2000" b="1"/>
        </a:p>
      </xdr:txBody>
    </xdr:sp>
    <xdr:clientData/>
  </xdr:twoCellAnchor>
  <xdr:twoCellAnchor editAs="absolute">
    <xdr:from>
      <xdr:col>19</xdr:col>
      <xdr:colOff>19051</xdr:colOff>
      <xdr:row>7</xdr:row>
      <xdr:rowOff>66675</xdr:rowOff>
    </xdr:from>
    <xdr:to>
      <xdr:col>22</xdr:col>
      <xdr:colOff>47625</xdr:colOff>
      <xdr:row>9</xdr:row>
      <xdr:rowOff>161925</xdr:rowOff>
    </xdr:to>
    <xdr:sp macro="" textlink="Pivot!C19">
      <xdr:nvSpPr>
        <xdr:cNvPr id="68" name="Rectangle 67">
          <a:extLst>
            <a:ext uri="{FF2B5EF4-FFF2-40B4-BE49-F238E27FC236}">
              <a16:creationId xmlns:a16="http://schemas.microsoft.com/office/drawing/2014/main" id="{99633519-D16D-F77A-6B88-4D28EFA040AE}"/>
            </a:ext>
          </a:extLst>
        </xdr:cNvPr>
        <xdr:cNvSpPr/>
      </xdr:nvSpPr>
      <xdr:spPr>
        <a:xfrm>
          <a:off x="12515851" y="1333500"/>
          <a:ext cx="1857374" cy="457200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5402BA87-AFCF-498E-8266-35A89B305816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pPr algn="l"/>
            <a:t>₹ 4,90,60,76,521</a:t>
          </a:fld>
          <a:endParaRPr lang="en-IN" sz="1800" b="1"/>
        </a:p>
      </xdr:txBody>
    </xdr:sp>
    <xdr:clientData/>
  </xdr:twoCellAnchor>
  <xdr:twoCellAnchor editAs="absolute">
    <xdr:from>
      <xdr:col>3</xdr:col>
      <xdr:colOff>240031</xdr:colOff>
      <xdr:row>5</xdr:row>
      <xdr:rowOff>95251</xdr:rowOff>
    </xdr:from>
    <xdr:to>
      <xdr:col>6</xdr:col>
      <xdr:colOff>219075</xdr:colOff>
      <xdr:row>7</xdr:row>
      <xdr:rowOff>142875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22A4EFE-77B3-0DE8-1424-95DC8AF2273A}"/>
            </a:ext>
          </a:extLst>
        </xdr:cNvPr>
        <xdr:cNvSpPr/>
      </xdr:nvSpPr>
      <xdr:spPr>
        <a:xfrm>
          <a:off x="2678431" y="1000126"/>
          <a:ext cx="1807844" cy="409574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0"/>
            <a:t>Customer</a:t>
          </a:r>
        </a:p>
      </xdr:txBody>
    </xdr:sp>
    <xdr:clientData/>
  </xdr:twoCellAnchor>
  <xdr:twoCellAnchor editAs="absolute">
    <xdr:from>
      <xdr:col>22</xdr:col>
      <xdr:colOff>533400</xdr:colOff>
      <xdr:row>7</xdr:row>
      <xdr:rowOff>161925</xdr:rowOff>
    </xdr:from>
    <xdr:to>
      <xdr:col>26</xdr:col>
      <xdr:colOff>28575</xdr:colOff>
      <xdr:row>10</xdr:row>
      <xdr:rowOff>95250</xdr:rowOff>
    </xdr:to>
    <xdr:sp macro="" textlink="Pivot!C23">
      <xdr:nvSpPr>
        <xdr:cNvPr id="70" name="Rectangle 69">
          <a:extLst>
            <a:ext uri="{FF2B5EF4-FFF2-40B4-BE49-F238E27FC236}">
              <a16:creationId xmlns:a16="http://schemas.microsoft.com/office/drawing/2014/main" id="{348E3FC3-A5C5-C442-6164-88E4F5B72B8A}"/>
            </a:ext>
          </a:extLst>
        </xdr:cNvPr>
        <xdr:cNvSpPr/>
      </xdr:nvSpPr>
      <xdr:spPr>
        <a:xfrm>
          <a:off x="14859000" y="1428750"/>
          <a:ext cx="1933575" cy="476250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74479DA-3971-4A62-ACFB-23E938961CC6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₹ 4,90,91,23,397</a:t>
          </a:fld>
          <a:endParaRPr lang="en-IN" sz="2000" b="1"/>
        </a:p>
      </xdr:txBody>
    </xdr:sp>
    <xdr:clientData/>
  </xdr:twoCellAnchor>
  <xdr:twoCellAnchor>
    <xdr:from>
      <xdr:col>3</xdr:col>
      <xdr:colOff>27517</xdr:colOff>
      <xdr:row>11</xdr:row>
      <xdr:rowOff>171450</xdr:rowOff>
    </xdr:from>
    <xdr:to>
      <xdr:col>10</xdr:col>
      <xdr:colOff>114300</xdr:colOff>
      <xdr:row>25</xdr:row>
      <xdr:rowOff>104775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E073F56-8C54-49DD-BD18-D4D90C3EA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10</xdr:col>
      <xdr:colOff>266700</xdr:colOff>
      <xdr:row>11</xdr:row>
      <xdr:rowOff>182034</xdr:rowOff>
    </xdr:from>
    <xdr:to>
      <xdr:col>17</xdr:col>
      <xdr:colOff>904875</xdr:colOff>
      <xdr:row>25</xdr:row>
      <xdr:rowOff>95250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02D1C1E-035A-45B5-B951-4F4C44EA6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71120</xdr:colOff>
      <xdr:row>25</xdr:row>
      <xdr:rowOff>172720</xdr:rowOff>
    </xdr:from>
    <xdr:to>
      <xdr:col>17</xdr:col>
      <xdr:colOff>924560</xdr:colOff>
      <xdr:row>41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9996F7-91A4-4CF5-9B56-E55E93079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81EF8E-A17A-4848-86B7-DBD36E9EE165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BF926-FE96-410B-8D9A-5640D358D469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7C6633-3052-4554-AD20-E5A3F616ADC6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C76BE5-8024-4013-A6AC-5E7278AA0365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5DF050-DA31-4D61-AF18-01ABD560E956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9C0A08-2308-41FE-9D6D-A4BA29F137C3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96F75C-319E-475E-94A8-D42A0EE2614C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66DAD0-CC39-42B4-881E-38A4B96989B4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EE5267-1DDC-49AE-A6B2-37AF5B567D6C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1BCA69-9F09-4AA5-B539-5AFFC7BA367F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6F8AD020-C62A-441D-9340-2316331DF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110835</xdr:colOff>
      <xdr:row>0</xdr:row>
      <xdr:rowOff>180802</xdr:rowOff>
    </xdr:from>
    <xdr:to>
      <xdr:col>20</xdr:col>
      <xdr:colOff>381000</xdr:colOff>
      <xdr:row>4</xdr:row>
      <xdr:rowOff>97675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6FF296F-2653-40DD-9A68-7138237E3157}"/>
            </a:ext>
          </a:extLst>
        </xdr:cNvPr>
        <xdr:cNvSpPr/>
      </xdr:nvSpPr>
      <xdr:spPr>
        <a:xfrm>
          <a:off x="2434935" y="180802"/>
          <a:ext cx="15233940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Customers</a:t>
          </a:r>
        </a:p>
      </xdr:txBody>
    </xdr:sp>
    <xdr:clientData/>
  </xdr:twoCellAnchor>
  <xdr:twoCellAnchor editAs="absolute">
    <xdr:from>
      <xdr:col>1</xdr:col>
      <xdr:colOff>223232</xdr:colOff>
      <xdr:row>8</xdr:row>
      <xdr:rowOff>164997</xdr:rowOff>
    </xdr:from>
    <xdr:to>
      <xdr:col>1</xdr:col>
      <xdr:colOff>439232</xdr:colOff>
      <xdr:row>9</xdr:row>
      <xdr:rowOff>83011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AFAFF937-5F82-471F-BCA6-FFAC4C1F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230853</xdr:colOff>
      <xdr:row>9</xdr:row>
      <xdr:rowOff>247563</xdr:rowOff>
    </xdr:from>
    <xdr:to>
      <xdr:col>1</xdr:col>
      <xdr:colOff>446853</xdr:colOff>
      <xdr:row>10</xdr:row>
      <xdr:rowOff>165325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97005779-658E-49BE-A7A9-404ACE4D1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2313" y="235576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14</xdr:row>
      <xdr:rowOff>65746</xdr:rowOff>
    </xdr:from>
    <xdr:to>
      <xdr:col>1</xdr:col>
      <xdr:colOff>481566</xdr:colOff>
      <xdr:row>15</xdr:row>
      <xdr:rowOff>98866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F8836D54-A10D-49C7-BF43-991931420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151707</xdr:rowOff>
    </xdr:from>
    <xdr:to>
      <xdr:col>1</xdr:col>
      <xdr:colOff>481566</xdr:colOff>
      <xdr:row>13</xdr:row>
      <xdr:rowOff>73914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5024EACF-5A3C-43B2-B8C5-5594D785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10</xdr:row>
      <xdr:rowOff>291354</xdr:rowOff>
    </xdr:from>
    <xdr:to>
      <xdr:col>1</xdr:col>
      <xdr:colOff>498785</xdr:colOff>
      <xdr:row>11</xdr:row>
      <xdr:rowOff>276261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30959855-AA63-4FD4-A247-1F74BAC9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19</xdr:row>
      <xdr:rowOff>555</xdr:rowOff>
    </xdr:from>
    <xdr:to>
      <xdr:col>1</xdr:col>
      <xdr:colOff>536792</xdr:colOff>
      <xdr:row>20</xdr:row>
      <xdr:rowOff>69829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3906C638-2787-49D0-87EB-A56A06F3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16</xdr:row>
      <xdr:rowOff>99165</xdr:rowOff>
    </xdr:from>
    <xdr:to>
      <xdr:col>1</xdr:col>
      <xdr:colOff>466971</xdr:colOff>
      <xdr:row>18</xdr:row>
      <xdr:rowOff>17190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DF3DDF69-CD53-43D0-917A-5E5298B52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21</xdr:row>
      <xdr:rowOff>10864</xdr:rowOff>
    </xdr:from>
    <xdr:to>
      <xdr:col>1</xdr:col>
      <xdr:colOff>535421</xdr:colOff>
      <xdr:row>22</xdr:row>
      <xdr:rowOff>75991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92C93126-A54D-4C3A-B424-8F6EB6B7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8</xdr:row>
      <xdr:rowOff>41814</xdr:rowOff>
    </xdr:from>
    <xdr:to>
      <xdr:col>1</xdr:col>
      <xdr:colOff>1831900</xdr:colOff>
      <xdr:row>9</xdr:row>
      <xdr:rowOff>84665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6101F-7C41-4867-B2BD-A428D8E66BEE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9</xdr:row>
      <xdr:rowOff>163660</xdr:rowOff>
    </xdr:from>
    <xdr:to>
      <xdr:col>1</xdr:col>
      <xdr:colOff>1789566</xdr:colOff>
      <xdr:row>10</xdr:row>
      <xdr:rowOff>190684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F01590-C525-4C5E-BD85-03C6D5CCD3EF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1</xdr:col>
      <xdr:colOff>2056554</xdr:colOff>
      <xdr:row>18</xdr:row>
      <xdr:rowOff>121715</xdr:rowOff>
    </xdr:from>
    <xdr:to>
      <xdr:col>4</xdr:col>
      <xdr:colOff>694267</xdr:colOff>
      <xdr:row>22</xdr:row>
      <xdr:rowOff>127000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5EF4958-BD54-491C-AAF7-E9DD89CA0EEF}"/>
            </a:ext>
          </a:extLst>
        </xdr:cNvPr>
        <xdr:cNvSpPr/>
      </xdr:nvSpPr>
      <xdr:spPr>
        <a:xfrm>
          <a:off x="2310554" y="4033315"/>
          <a:ext cx="2346113" cy="750352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16</xdr:row>
      <xdr:rowOff>56021</xdr:rowOff>
    </xdr:from>
    <xdr:to>
      <xdr:col>1</xdr:col>
      <xdr:colOff>1704898</xdr:colOff>
      <xdr:row>18</xdr:row>
      <xdr:rowOff>13688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EB03BF-62BD-4B2E-9AD8-9442A15EE241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12</xdr:row>
      <xdr:rowOff>88660</xdr:rowOff>
    </xdr:from>
    <xdr:to>
      <xdr:col>1</xdr:col>
      <xdr:colOff>1583267</xdr:colOff>
      <xdr:row>13</xdr:row>
      <xdr:rowOff>131405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2C34617-55C3-4604-AB1A-FA4998BD3515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18</xdr:row>
      <xdr:rowOff>101149</xdr:rowOff>
    </xdr:from>
    <xdr:to>
      <xdr:col>1</xdr:col>
      <xdr:colOff>1374698</xdr:colOff>
      <xdr:row>20</xdr:row>
      <xdr:rowOff>48001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CF480A-AECE-4AC8-91CE-1940054F860D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20</xdr:row>
      <xdr:rowOff>143932</xdr:rowOff>
    </xdr:from>
    <xdr:to>
      <xdr:col>1</xdr:col>
      <xdr:colOff>1739613</xdr:colOff>
      <xdr:row>22</xdr:row>
      <xdr:rowOff>84666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F21170C-3196-4943-8629-B506699A14CD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10</xdr:row>
      <xdr:rowOff>269679</xdr:rowOff>
    </xdr:from>
    <xdr:to>
      <xdr:col>1</xdr:col>
      <xdr:colOff>1594833</xdr:colOff>
      <xdr:row>12</xdr:row>
      <xdr:rowOff>9665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40D50B-6F9F-4EA6-89FF-6F6831CA0A5C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14</xdr:row>
      <xdr:rowOff>15666</xdr:rowOff>
    </xdr:from>
    <xdr:to>
      <xdr:col>1</xdr:col>
      <xdr:colOff>1831899</xdr:colOff>
      <xdr:row>15</xdr:row>
      <xdr:rowOff>180226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4D1177-BE1C-4086-A0D5-B8E15DC4624A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7</xdr:row>
      <xdr:rowOff>152401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D9D8698-E6EC-4C5F-BE36-B781BCC98B5B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F187E4-391A-4E8B-9A72-95DE256AF5E5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D12A6-E70B-42D5-A820-F7E2651F3075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6F9722-B0CC-4719-8A23-8AC863D97D60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224774-85AC-4AFE-B49C-7C227A4213D9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65898D-0EE4-4E3E-BA64-B733F4BE2800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2B2C84-F9A8-4C79-B702-56BAF17F171C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5210202-C4A6-49F1-A689-F516CD373841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17AD4E-0434-41AF-BC34-207750CFB057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49CB6C-CCB2-4D9E-8FB3-BF7649D9FAC4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2C115A-578D-4C5A-A6BD-6D38DCEAD4DC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690964C2-E64C-4755-9FA6-B32B89FD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3</xdr:col>
      <xdr:colOff>15585</xdr:colOff>
      <xdr:row>1</xdr:row>
      <xdr:rowOff>28402</xdr:rowOff>
    </xdr:from>
    <xdr:to>
      <xdr:col>22</xdr:col>
      <xdr:colOff>542925</xdr:colOff>
      <xdr:row>4</xdr:row>
      <xdr:rowOff>126250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BE608D2-8AE9-41E5-BD30-649995015B89}"/>
            </a:ext>
          </a:extLst>
        </xdr:cNvPr>
        <xdr:cNvSpPr/>
      </xdr:nvSpPr>
      <xdr:spPr>
        <a:xfrm>
          <a:off x="2453985" y="209377"/>
          <a:ext cx="16691265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Products</a:t>
          </a:r>
        </a:p>
      </xdr:txBody>
    </xdr:sp>
    <xdr:clientData/>
  </xdr:twoCellAnchor>
  <xdr:twoCellAnchor editAs="absolute">
    <xdr:from>
      <xdr:col>1</xdr:col>
      <xdr:colOff>223232</xdr:colOff>
      <xdr:row>8</xdr:row>
      <xdr:rowOff>164997</xdr:rowOff>
    </xdr:from>
    <xdr:to>
      <xdr:col>1</xdr:col>
      <xdr:colOff>439232</xdr:colOff>
      <xdr:row>9</xdr:row>
      <xdr:rowOff>83011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34E41FA2-65FD-4CB3-AE46-3C7A9DEF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9</xdr:row>
      <xdr:rowOff>201843</xdr:rowOff>
    </xdr:from>
    <xdr:to>
      <xdr:col>1</xdr:col>
      <xdr:colOff>439233</xdr:colOff>
      <xdr:row>10</xdr:row>
      <xdr:rowOff>119605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CACAE450-117D-42BD-AE6B-A5E32E516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13</xdr:row>
      <xdr:rowOff>249896</xdr:rowOff>
    </xdr:from>
    <xdr:to>
      <xdr:col>1</xdr:col>
      <xdr:colOff>481566</xdr:colOff>
      <xdr:row>14</xdr:row>
      <xdr:rowOff>167657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9900F47C-6AD0-442F-91AC-DB554CD2F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156998</xdr:rowOff>
    </xdr:from>
    <xdr:to>
      <xdr:col>1</xdr:col>
      <xdr:colOff>481566</xdr:colOff>
      <xdr:row>13</xdr:row>
      <xdr:rowOff>78147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43C7E26A-BBA6-42BC-A302-0305F429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10</xdr:row>
      <xdr:rowOff>291354</xdr:rowOff>
    </xdr:from>
    <xdr:to>
      <xdr:col>1</xdr:col>
      <xdr:colOff>498785</xdr:colOff>
      <xdr:row>11</xdr:row>
      <xdr:rowOff>276261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FB373C48-C7A4-4D0B-BF52-3B9AF20FB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17</xdr:row>
      <xdr:rowOff>18546</xdr:rowOff>
    </xdr:from>
    <xdr:to>
      <xdr:col>1</xdr:col>
      <xdr:colOff>536792</xdr:colOff>
      <xdr:row>18</xdr:row>
      <xdr:rowOff>82530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C1D73445-1D6D-4CA5-A240-D1A5B1D69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15</xdr:row>
      <xdr:rowOff>45190</xdr:rowOff>
    </xdr:from>
    <xdr:to>
      <xdr:col>1</xdr:col>
      <xdr:colOff>466971</xdr:colOff>
      <xdr:row>16</xdr:row>
      <xdr:rowOff>35181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381D7628-78A8-4540-8FCE-CD946397C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19</xdr:row>
      <xdr:rowOff>28855</xdr:rowOff>
    </xdr:from>
    <xdr:to>
      <xdr:col>1</xdr:col>
      <xdr:colOff>535421</xdr:colOff>
      <xdr:row>20</xdr:row>
      <xdr:rowOff>88691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2FF518DB-AB41-4F4C-9F22-5CB64F563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8</xdr:row>
      <xdr:rowOff>41814</xdr:rowOff>
    </xdr:from>
    <xdr:to>
      <xdr:col>1</xdr:col>
      <xdr:colOff>1831900</xdr:colOff>
      <xdr:row>9</xdr:row>
      <xdr:rowOff>84665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6F37E7-96AD-4F18-AB66-F3AAF3C8AF56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9</xdr:row>
      <xdr:rowOff>163660</xdr:rowOff>
    </xdr:from>
    <xdr:to>
      <xdr:col>1</xdr:col>
      <xdr:colOff>1789566</xdr:colOff>
      <xdr:row>10</xdr:row>
      <xdr:rowOff>190684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0526D4-7646-4789-9839-6FFB81C5EEC8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3</xdr:col>
      <xdr:colOff>541021</xdr:colOff>
      <xdr:row>0</xdr:row>
      <xdr:rowOff>110067</xdr:rowOff>
    </xdr:from>
    <xdr:to>
      <xdr:col>4</xdr:col>
      <xdr:colOff>1693334</xdr:colOff>
      <xdr:row>0</xdr:row>
      <xdr:rowOff>155786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9B16EC2-CD99-4C28-AC95-F80D24AB2D46}"/>
            </a:ext>
          </a:extLst>
        </xdr:cNvPr>
        <xdr:cNvSpPr/>
      </xdr:nvSpPr>
      <xdr:spPr>
        <a:xfrm>
          <a:off x="2996354" y="110067"/>
          <a:ext cx="2346113" cy="4571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15</xdr:row>
      <xdr:rowOff>2046</xdr:rowOff>
    </xdr:from>
    <xdr:to>
      <xdr:col>1</xdr:col>
      <xdr:colOff>1704898</xdr:colOff>
      <xdr:row>16</xdr:row>
      <xdr:rowOff>31679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487633-222F-4B7E-A0E2-FB0B1ACD5CBC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12</xdr:row>
      <xdr:rowOff>88660</xdr:rowOff>
    </xdr:from>
    <xdr:to>
      <xdr:col>1</xdr:col>
      <xdr:colOff>1583267</xdr:colOff>
      <xdr:row>13</xdr:row>
      <xdr:rowOff>135638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EBA61ABC-8237-4511-8AC1-5FB291E55D04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16</xdr:row>
      <xdr:rowOff>113848</xdr:rowOff>
    </xdr:from>
    <xdr:to>
      <xdr:col>1</xdr:col>
      <xdr:colOff>1374698</xdr:colOff>
      <xdr:row>18</xdr:row>
      <xdr:rowOff>60702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CEB415-1A56-43B4-9D80-33E46779BB12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18</xdr:row>
      <xdr:rowOff>156633</xdr:rowOff>
    </xdr:from>
    <xdr:to>
      <xdr:col>1</xdr:col>
      <xdr:colOff>1739613</xdr:colOff>
      <xdr:row>20</xdr:row>
      <xdr:rowOff>97366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11FCB9-E289-444C-A22F-6DC2630DE92E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10</xdr:row>
      <xdr:rowOff>269679</xdr:rowOff>
    </xdr:from>
    <xdr:to>
      <xdr:col>1</xdr:col>
      <xdr:colOff>1594833</xdr:colOff>
      <xdr:row>12</xdr:row>
      <xdr:rowOff>9665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37930F-DECB-4A65-BE31-0795BDFA3D70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13</xdr:row>
      <xdr:rowOff>199816</xdr:rowOff>
    </xdr:from>
    <xdr:to>
      <xdr:col>1</xdr:col>
      <xdr:colOff>1831899</xdr:colOff>
      <xdr:row>14</xdr:row>
      <xdr:rowOff>249017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94B082-C094-4E95-A0B0-ABBA2148432F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7</xdr:row>
      <xdr:rowOff>152401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54A0B29-98EE-447F-AB33-4816D23C9791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CAEC81-E0CC-409D-8E8C-610F1BCCC43D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038F57-C66C-4A8B-B102-D75D85AC8140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A006C6-98A9-4EFD-81C8-E39B7C3A4964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7A70DC-6281-4AD2-AD2F-E26DAAB8209A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1EBF6E-9F33-4CAB-A6D8-CA01061ECE8B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4B723F-E714-4A49-A36E-E14FC7E11127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C503D13-1D23-4965-9F6D-684264CAAF17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F688DB-1AF8-412D-9AE5-514C223B1AF0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89C977-D302-41A8-9709-131944F97DB0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A216E5-EE78-4AB4-9F65-81A6A3D3E596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148208B5-5175-4AC7-AF29-64AB3AA2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110834</xdr:colOff>
      <xdr:row>0</xdr:row>
      <xdr:rowOff>180802</xdr:rowOff>
    </xdr:from>
    <xdr:to>
      <xdr:col>26</xdr:col>
      <xdr:colOff>390524</xdr:colOff>
      <xdr:row>4</xdr:row>
      <xdr:rowOff>97675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70D4D93-72F5-45EF-B4A2-0251CAB2F5F7}"/>
            </a:ext>
          </a:extLst>
        </xdr:cNvPr>
        <xdr:cNvSpPr/>
      </xdr:nvSpPr>
      <xdr:spPr>
        <a:xfrm>
          <a:off x="2434934" y="180802"/>
          <a:ext cx="18958215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Vendors</a:t>
          </a:r>
        </a:p>
      </xdr:txBody>
    </xdr:sp>
    <xdr:clientData/>
  </xdr:twoCellAnchor>
  <xdr:twoCellAnchor editAs="absolute">
    <xdr:from>
      <xdr:col>1</xdr:col>
      <xdr:colOff>223232</xdr:colOff>
      <xdr:row>7</xdr:row>
      <xdr:rowOff>164997</xdr:rowOff>
    </xdr:from>
    <xdr:to>
      <xdr:col>1</xdr:col>
      <xdr:colOff>439232</xdr:colOff>
      <xdr:row>8</xdr:row>
      <xdr:rowOff>83011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479F9B48-F59F-46D2-A0AA-FB21CFBBB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8</xdr:row>
      <xdr:rowOff>201843</xdr:rowOff>
    </xdr:from>
    <xdr:to>
      <xdr:col>1</xdr:col>
      <xdr:colOff>439233</xdr:colOff>
      <xdr:row>9</xdr:row>
      <xdr:rowOff>119605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D1AFDCD0-878D-486C-96A5-A2D91E6E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249896</xdr:rowOff>
    </xdr:from>
    <xdr:to>
      <xdr:col>1</xdr:col>
      <xdr:colOff>481566</xdr:colOff>
      <xdr:row>13</xdr:row>
      <xdr:rowOff>167657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A575A27A-0C72-4AA2-BDA8-0245F84FA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11</xdr:row>
      <xdr:rowOff>156998</xdr:rowOff>
    </xdr:from>
    <xdr:to>
      <xdr:col>1</xdr:col>
      <xdr:colOff>481566</xdr:colOff>
      <xdr:row>12</xdr:row>
      <xdr:rowOff>78147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69CA8936-5A8A-4AD4-B946-C2894F0F0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9</xdr:row>
      <xdr:rowOff>291354</xdr:rowOff>
    </xdr:from>
    <xdr:to>
      <xdr:col>1</xdr:col>
      <xdr:colOff>498785</xdr:colOff>
      <xdr:row>10</xdr:row>
      <xdr:rowOff>276261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1AFCC517-92C4-47CA-BE3D-F3A5E04DA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15</xdr:row>
      <xdr:rowOff>207988</xdr:rowOff>
    </xdr:from>
    <xdr:to>
      <xdr:col>1</xdr:col>
      <xdr:colOff>536792</xdr:colOff>
      <xdr:row>16</xdr:row>
      <xdr:rowOff>157671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9514FCE1-B4ED-4CFB-9468-44B2CB576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14</xdr:row>
      <xdr:rowOff>53657</xdr:rowOff>
    </xdr:from>
    <xdr:to>
      <xdr:col>1</xdr:col>
      <xdr:colOff>466971</xdr:colOff>
      <xdr:row>15</xdr:row>
      <xdr:rowOff>38356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8DDA0B24-2DE5-4273-901C-1D5DDF2D8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17</xdr:row>
      <xdr:rowOff>103997</xdr:rowOff>
    </xdr:from>
    <xdr:to>
      <xdr:col>1</xdr:col>
      <xdr:colOff>535421</xdr:colOff>
      <xdr:row>18</xdr:row>
      <xdr:rowOff>163833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051A3B42-684B-4338-A6A2-B3E5D53F3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7</xdr:row>
      <xdr:rowOff>41814</xdr:rowOff>
    </xdr:from>
    <xdr:to>
      <xdr:col>1</xdr:col>
      <xdr:colOff>1831900</xdr:colOff>
      <xdr:row>8</xdr:row>
      <xdr:rowOff>84665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7D25C-B7CB-4FB0-AA82-F677E3B18A7D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8</xdr:row>
      <xdr:rowOff>163660</xdr:rowOff>
    </xdr:from>
    <xdr:to>
      <xdr:col>1</xdr:col>
      <xdr:colOff>1789566</xdr:colOff>
      <xdr:row>9</xdr:row>
      <xdr:rowOff>190684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FF373F-D9D0-483B-A623-EF150EE34419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0</xdr:col>
      <xdr:colOff>151554</xdr:colOff>
      <xdr:row>8</xdr:row>
      <xdr:rowOff>477315</xdr:rowOff>
    </xdr:from>
    <xdr:to>
      <xdr:col>3</xdr:col>
      <xdr:colOff>42334</xdr:colOff>
      <xdr:row>8</xdr:row>
      <xdr:rowOff>887408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58292CC-1F67-4D04-820E-2BF47B010E7C}"/>
            </a:ext>
          </a:extLst>
        </xdr:cNvPr>
        <xdr:cNvSpPr/>
      </xdr:nvSpPr>
      <xdr:spPr>
        <a:xfrm>
          <a:off x="151554" y="1643175"/>
          <a:ext cx="2336800" cy="623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14</xdr:row>
      <xdr:rowOff>10513</xdr:rowOff>
    </xdr:from>
    <xdr:to>
      <xdr:col>1</xdr:col>
      <xdr:colOff>1704898</xdr:colOff>
      <xdr:row>15</xdr:row>
      <xdr:rowOff>40146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D21A87-E19E-4948-84CE-DCFE2349CDDA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11</xdr:row>
      <xdr:rowOff>88660</xdr:rowOff>
    </xdr:from>
    <xdr:to>
      <xdr:col>1</xdr:col>
      <xdr:colOff>1583267</xdr:colOff>
      <xdr:row>12</xdr:row>
      <xdr:rowOff>135638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D6CA30F-5BEE-4C22-B5A3-BB3203CC43DA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15</xdr:row>
      <xdr:rowOff>122315</xdr:rowOff>
    </xdr:from>
    <xdr:to>
      <xdr:col>1</xdr:col>
      <xdr:colOff>1374698</xdr:colOff>
      <xdr:row>16</xdr:row>
      <xdr:rowOff>135843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7F8BDD-8C0A-4D4E-9CF3-826EBC9D99C8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17</xdr:row>
      <xdr:rowOff>50799</xdr:rowOff>
    </xdr:from>
    <xdr:to>
      <xdr:col>1</xdr:col>
      <xdr:colOff>1739613</xdr:colOff>
      <xdr:row>18</xdr:row>
      <xdr:rowOff>172508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08612CD-C902-4090-85B2-7D3367C86F1D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9</xdr:row>
      <xdr:rowOff>269679</xdr:rowOff>
    </xdr:from>
    <xdr:to>
      <xdr:col>1</xdr:col>
      <xdr:colOff>1594833</xdr:colOff>
      <xdr:row>11</xdr:row>
      <xdr:rowOff>9665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A3D334-F5A4-47D8-8D8A-42E8B7441393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12</xdr:row>
      <xdr:rowOff>199816</xdr:rowOff>
    </xdr:from>
    <xdr:to>
      <xdr:col>1</xdr:col>
      <xdr:colOff>1831899</xdr:colOff>
      <xdr:row>13</xdr:row>
      <xdr:rowOff>249017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E0778D-1E51-4D0B-AE75-2976731201F3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6</xdr:row>
      <xdr:rowOff>152401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001EBD1-8B53-4252-807B-BB581B904C9E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64A463-40FD-468A-87C6-4962EC7ADA1D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B11CB-8AD2-4D6F-9352-3FB767E2EE77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4478D6-1E3C-411D-9FD4-F22CBE3B646D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B01731-90A9-4E32-8D6B-CAD187B5203E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22D5B1-48BF-4F85-AC45-41BB000A5344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65D025-D748-418D-AB5A-4F343E30D78C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154FFAA-7B01-4974-9719-5CF228B6E4E9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87F46C-6397-4112-8A39-B3A09F4A2ADC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A0129CF-8A40-48E0-86CC-A31DC20284E9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75AAD68-3E46-47B7-AA64-3C5D8D97DF81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B5501044-5AF0-4330-A067-10250A650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110836</xdr:colOff>
      <xdr:row>0</xdr:row>
      <xdr:rowOff>180802</xdr:rowOff>
    </xdr:from>
    <xdr:to>
      <xdr:col>26</xdr:col>
      <xdr:colOff>276225</xdr:colOff>
      <xdr:row>4</xdr:row>
      <xdr:rowOff>97675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E7D05A2-6054-46E6-BBDC-26694FD0B67E}"/>
            </a:ext>
          </a:extLst>
        </xdr:cNvPr>
        <xdr:cNvSpPr/>
      </xdr:nvSpPr>
      <xdr:spPr>
        <a:xfrm>
          <a:off x="2434936" y="180802"/>
          <a:ext cx="15224414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New</a:t>
          </a:r>
          <a:r>
            <a:rPr lang="en-IN" sz="2800" b="1" baseline="0"/>
            <a:t> Entry</a:t>
          </a:r>
        </a:p>
        <a:p>
          <a:pPr algn="l"/>
          <a:endParaRPr lang="en-IN" sz="2800" b="1"/>
        </a:p>
      </xdr:txBody>
    </xdr:sp>
    <xdr:clientData/>
  </xdr:twoCellAnchor>
  <xdr:twoCellAnchor editAs="absolute">
    <xdr:from>
      <xdr:col>1</xdr:col>
      <xdr:colOff>223232</xdr:colOff>
      <xdr:row>10</xdr:row>
      <xdr:rowOff>142772</xdr:rowOff>
    </xdr:from>
    <xdr:to>
      <xdr:col>1</xdr:col>
      <xdr:colOff>439232</xdr:colOff>
      <xdr:row>11</xdr:row>
      <xdr:rowOff>176145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BF37F7A5-7C64-4B2B-B948-48408E5E1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12</xdr:row>
      <xdr:rowOff>100243</xdr:rowOff>
    </xdr:from>
    <xdr:to>
      <xdr:col>1</xdr:col>
      <xdr:colOff>439233</xdr:colOff>
      <xdr:row>13</xdr:row>
      <xdr:rowOff>133364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5C4D5BB6-5BDE-4429-8C35-CEB732238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17</xdr:row>
      <xdr:rowOff>285880</xdr:rowOff>
    </xdr:from>
    <xdr:to>
      <xdr:col>1</xdr:col>
      <xdr:colOff>481566</xdr:colOff>
      <xdr:row>18</xdr:row>
      <xdr:rowOff>175066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F0B119C8-1214-458F-877D-7576A02B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16</xdr:row>
      <xdr:rowOff>71273</xdr:rowOff>
    </xdr:from>
    <xdr:to>
      <xdr:col>1</xdr:col>
      <xdr:colOff>481566</xdr:colOff>
      <xdr:row>17</xdr:row>
      <xdr:rowOff>107781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622BE737-89B2-45B3-8774-288E80E2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9566" y="3398673"/>
          <a:ext cx="216000" cy="41750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13</xdr:row>
      <xdr:rowOff>311463</xdr:rowOff>
    </xdr:from>
    <xdr:to>
      <xdr:col>1</xdr:col>
      <xdr:colOff>498785</xdr:colOff>
      <xdr:row>15</xdr:row>
      <xdr:rowOff>81528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B8637973-ECE9-4665-9A92-9CAB63EF7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22</xdr:row>
      <xdr:rowOff>76755</xdr:rowOff>
    </xdr:from>
    <xdr:to>
      <xdr:col>1</xdr:col>
      <xdr:colOff>536792</xdr:colOff>
      <xdr:row>23</xdr:row>
      <xdr:rowOff>146029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C003CBFD-5088-4461-8A61-1B2936E43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19</xdr:row>
      <xdr:rowOff>175365</xdr:rowOff>
    </xdr:from>
    <xdr:to>
      <xdr:col>1</xdr:col>
      <xdr:colOff>466971</xdr:colOff>
      <xdr:row>21</xdr:row>
      <xdr:rowOff>93390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72894B30-6908-4489-8C89-CFF69D070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24</xdr:row>
      <xdr:rowOff>87064</xdr:rowOff>
    </xdr:from>
    <xdr:to>
      <xdr:col>1</xdr:col>
      <xdr:colOff>535421</xdr:colOff>
      <xdr:row>25</xdr:row>
      <xdr:rowOff>152191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8221B86C-9B70-4A27-87AA-E6205A21B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10</xdr:row>
      <xdr:rowOff>13239</xdr:rowOff>
    </xdr:from>
    <xdr:to>
      <xdr:col>1</xdr:col>
      <xdr:colOff>1831900</xdr:colOff>
      <xdr:row>11</xdr:row>
      <xdr:rowOff>177799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365346-30DD-4DC4-ADA4-A90DE879B82B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12</xdr:row>
      <xdr:rowOff>62060</xdr:rowOff>
    </xdr:from>
    <xdr:to>
      <xdr:col>1</xdr:col>
      <xdr:colOff>1789566</xdr:colOff>
      <xdr:row>13</xdr:row>
      <xdr:rowOff>204443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E1242F-D310-4100-8756-5E945444B7B3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0</xdr:col>
      <xdr:colOff>151554</xdr:colOff>
      <xdr:row>8</xdr:row>
      <xdr:rowOff>477315</xdr:rowOff>
    </xdr:from>
    <xdr:to>
      <xdr:col>3</xdr:col>
      <xdr:colOff>42334</xdr:colOff>
      <xdr:row>8</xdr:row>
      <xdr:rowOff>887408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A8FB2C-B545-4052-B0C8-8D28510363A8}"/>
            </a:ext>
          </a:extLst>
        </xdr:cNvPr>
        <xdr:cNvSpPr/>
      </xdr:nvSpPr>
      <xdr:spPr>
        <a:xfrm>
          <a:off x="151554" y="1643175"/>
          <a:ext cx="2336800" cy="623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19</xdr:row>
      <xdr:rowOff>132221</xdr:rowOff>
    </xdr:from>
    <xdr:to>
      <xdr:col>1</xdr:col>
      <xdr:colOff>1704898</xdr:colOff>
      <xdr:row>21</xdr:row>
      <xdr:rowOff>89888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315ECF-8A50-4510-A560-8322A1416915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16</xdr:row>
      <xdr:rowOff>2935</xdr:rowOff>
    </xdr:from>
    <xdr:to>
      <xdr:col>1</xdr:col>
      <xdr:colOff>1583267</xdr:colOff>
      <xdr:row>17</xdr:row>
      <xdr:rowOff>165272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D3D6632-1E8C-472E-AC67-879A2DE2F6D2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21</xdr:row>
      <xdr:rowOff>177349</xdr:rowOff>
    </xdr:from>
    <xdr:to>
      <xdr:col>1</xdr:col>
      <xdr:colOff>1374698</xdr:colOff>
      <xdr:row>23</xdr:row>
      <xdr:rowOff>124201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C14843-C0CD-4F8E-849A-40D6DBD393BA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24</xdr:row>
      <xdr:rowOff>33866</xdr:rowOff>
    </xdr:from>
    <xdr:to>
      <xdr:col>1</xdr:col>
      <xdr:colOff>1739613</xdr:colOff>
      <xdr:row>25</xdr:row>
      <xdr:rowOff>160866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E6A372-7178-4547-B613-A64AD9BDEC9E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13</xdr:row>
      <xdr:rowOff>283438</xdr:rowOff>
    </xdr:from>
    <xdr:to>
      <xdr:col>1</xdr:col>
      <xdr:colOff>1594833</xdr:colOff>
      <xdr:row>15</xdr:row>
      <xdr:rowOff>110207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B9BFD6-EB2F-4D96-9046-B4A70B059A11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17</xdr:row>
      <xdr:rowOff>235800</xdr:rowOff>
    </xdr:from>
    <xdr:to>
      <xdr:col>1</xdr:col>
      <xdr:colOff>1831899</xdr:colOff>
      <xdr:row>19</xdr:row>
      <xdr:rowOff>70159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B747F0-D7C2-4A83-A6F6-D03D469D9A14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1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9</xdr:row>
      <xdr:rowOff>8468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8ABD919-3F1F-4B97-B0FD-2AEFC283A3F5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1A737E-91EE-43B5-A533-1CC3927F665F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538CBC-F329-415F-B0DB-1F41D5F4C92E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26976F-FF8C-4FF1-9577-C151990DA929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4B7385-C892-481D-97B6-359333C16760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D02854-5A62-4081-97C6-B27B13DEF647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FF4BE0-4096-43A6-9BB9-1DAC0815B9FC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FDED49-7E73-42AC-9E62-B68E76706598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86AD04-DEB1-4CE2-843E-39BC78638DD3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6DB1BD-4966-4CB5-878B-09B8600F702B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86A5AE5-33B6-4467-B474-0A621A2AC9E4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FA540B71-6B25-45D8-A928-108B2361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110834</xdr:colOff>
      <xdr:row>0</xdr:row>
      <xdr:rowOff>180802</xdr:rowOff>
    </xdr:from>
    <xdr:to>
      <xdr:col>21</xdr:col>
      <xdr:colOff>57149</xdr:colOff>
      <xdr:row>4</xdr:row>
      <xdr:rowOff>97675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5D4CD29-E4AF-45DD-8F15-B501DF659F01}"/>
            </a:ext>
          </a:extLst>
        </xdr:cNvPr>
        <xdr:cNvSpPr/>
      </xdr:nvSpPr>
      <xdr:spPr>
        <a:xfrm>
          <a:off x="2434934" y="180802"/>
          <a:ext cx="15624465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Purchase</a:t>
          </a:r>
        </a:p>
      </xdr:txBody>
    </xdr:sp>
    <xdr:clientData/>
  </xdr:twoCellAnchor>
  <xdr:twoCellAnchor editAs="absolute">
    <xdr:from>
      <xdr:col>1</xdr:col>
      <xdr:colOff>223232</xdr:colOff>
      <xdr:row>8</xdr:row>
      <xdr:rowOff>111022</xdr:rowOff>
    </xdr:from>
    <xdr:to>
      <xdr:col>1</xdr:col>
      <xdr:colOff>439232</xdr:colOff>
      <xdr:row>9</xdr:row>
      <xdr:rowOff>29036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A4AB254E-7245-4DEB-AB9A-FF9DBB59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9</xdr:row>
      <xdr:rowOff>147868</xdr:rowOff>
    </xdr:from>
    <xdr:to>
      <xdr:col>1</xdr:col>
      <xdr:colOff>439233</xdr:colOff>
      <xdr:row>10</xdr:row>
      <xdr:rowOff>65630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5BF56F5B-4DA6-400F-A3F8-E5DB8CD1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13</xdr:row>
      <xdr:rowOff>195921</xdr:rowOff>
    </xdr:from>
    <xdr:to>
      <xdr:col>1</xdr:col>
      <xdr:colOff>481566</xdr:colOff>
      <xdr:row>14</xdr:row>
      <xdr:rowOff>113682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36E589D4-868A-452D-9825-0AF76333B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96673</xdr:rowOff>
    </xdr:from>
    <xdr:to>
      <xdr:col>1</xdr:col>
      <xdr:colOff>481566</xdr:colOff>
      <xdr:row>13</xdr:row>
      <xdr:rowOff>17822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5A9A6133-CB53-4663-965D-80808936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10</xdr:row>
      <xdr:rowOff>237379</xdr:rowOff>
    </xdr:from>
    <xdr:to>
      <xdr:col>1</xdr:col>
      <xdr:colOff>498785</xdr:colOff>
      <xdr:row>11</xdr:row>
      <xdr:rowOff>222286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89FECCF4-5889-44A6-A222-B931D7351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16</xdr:row>
      <xdr:rowOff>150838</xdr:rowOff>
    </xdr:from>
    <xdr:to>
      <xdr:col>1</xdr:col>
      <xdr:colOff>536792</xdr:colOff>
      <xdr:row>17</xdr:row>
      <xdr:rowOff>104754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EFEED06A-2E5B-424B-827B-BAF03AF1E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14</xdr:row>
      <xdr:rowOff>293898</xdr:rowOff>
    </xdr:from>
    <xdr:to>
      <xdr:col>1</xdr:col>
      <xdr:colOff>466971</xdr:colOff>
      <xdr:row>15</xdr:row>
      <xdr:rowOff>282831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1DA1EB0D-5F89-440E-9586-5B7C8D01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17</xdr:row>
      <xdr:rowOff>232055</xdr:rowOff>
    </xdr:from>
    <xdr:to>
      <xdr:col>1</xdr:col>
      <xdr:colOff>535421</xdr:colOff>
      <xdr:row>18</xdr:row>
      <xdr:rowOff>181824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802D01A4-6A06-4B7A-B76B-CC92A1F73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7</xdr:row>
      <xdr:rowOff>572039</xdr:rowOff>
    </xdr:from>
    <xdr:to>
      <xdr:col>1</xdr:col>
      <xdr:colOff>1831900</xdr:colOff>
      <xdr:row>9</xdr:row>
      <xdr:rowOff>30690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E6B33-7B67-4417-98A0-B39B1E1FD68A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9</xdr:row>
      <xdr:rowOff>109685</xdr:rowOff>
    </xdr:from>
    <xdr:to>
      <xdr:col>1</xdr:col>
      <xdr:colOff>1789566</xdr:colOff>
      <xdr:row>10</xdr:row>
      <xdr:rowOff>130359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DDEFEC-0927-42A9-A470-358F77D5184F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 editAs="absolute">
    <xdr:from>
      <xdr:col>1</xdr:col>
      <xdr:colOff>443365</xdr:colOff>
      <xdr:row>14</xdr:row>
      <xdr:rowOff>233821</xdr:rowOff>
    </xdr:from>
    <xdr:to>
      <xdr:col>1</xdr:col>
      <xdr:colOff>1704898</xdr:colOff>
      <xdr:row>15</xdr:row>
      <xdr:rowOff>262396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D3450D5-9536-4F97-9E0C-DFD8A3FD3BA6}"/>
            </a:ext>
          </a:extLst>
        </xdr:cNvPr>
        <xdr:cNvSpPr/>
      </xdr:nvSpPr>
      <xdr:spPr>
        <a:xfrm>
          <a:off x="697365" y="3950688"/>
          <a:ext cx="1261533" cy="33020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12</xdr:row>
      <xdr:rowOff>28335</xdr:rowOff>
    </xdr:from>
    <xdr:to>
      <xdr:col>1</xdr:col>
      <xdr:colOff>1583267</xdr:colOff>
      <xdr:row>13</xdr:row>
      <xdr:rowOff>75313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F7FD069-848A-4853-8664-103A15837D3C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16</xdr:row>
      <xdr:rowOff>65165</xdr:rowOff>
    </xdr:from>
    <xdr:to>
      <xdr:col>1</xdr:col>
      <xdr:colOff>1374698</xdr:colOff>
      <xdr:row>17</xdr:row>
      <xdr:rowOff>82926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EFD792-2C4F-477E-9DF3-9852A1D4587C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17</xdr:row>
      <xdr:rowOff>178857</xdr:rowOff>
    </xdr:from>
    <xdr:to>
      <xdr:col>1</xdr:col>
      <xdr:colOff>1739613</xdr:colOff>
      <xdr:row>18</xdr:row>
      <xdr:rowOff>190499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DFC6D2-14FF-4982-9E1D-55A566AF6506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10</xdr:row>
      <xdr:rowOff>209354</xdr:rowOff>
    </xdr:from>
    <xdr:to>
      <xdr:col>1</xdr:col>
      <xdr:colOff>1594833</xdr:colOff>
      <xdr:row>11</xdr:row>
      <xdr:rowOff>250965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D7BABE-6A67-479F-9B40-1C9BBAA3BE4B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13</xdr:row>
      <xdr:rowOff>145841</xdr:rowOff>
    </xdr:from>
    <xdr:to>
      <xdr:col>1</xdr:col>
      <xdr:colOff>1831899</xdr:colOff>
      <xdr:row>14</xdr:row>
      <xdr:rowOff>188692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99577C-3178-4542-81BC-A3457559FC9E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7</xdr:row>
      <xdr:rowOff>381001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71A3BB3-5534-4A68-A562-AFA91EF6B757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0C563F-F636-4968-88AD-3ACB077310FE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F2375-C2E0-4FC6-BF73-C202779C3F94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AA5531-CC15-4B2F-AC61-54E48C3C3C69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E40AA6-E93D-4AE3-BAB8-5479C023487C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01430D-4215-4AD0-9218-E912CAE59269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620C68-35E8-48C9-ABCE-3A3461B1B0B4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6D06DF-BDAB-4832-9163-8DE47495306E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A2500F-9599-4823-B7E6-31B5E893E49C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2F4DB2-0874-4CEB-9D09-8D9ED147DB98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2A4C71-F439-40BD-A29C-C07C6B27C9C6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C3E94A39-775B-4FF5-9D37-B72E04BD5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3</xdr:col>
      <xdr:colOff>34635</xdr:colOff>
      <xdr:row>1</xdr:row>
      <xdr:rowOff>9352</xdr:rowOff>
    </xdr:from>
    <xdr:to>
      <xdr:col>18</xdr:col>
      <xdr:colOff>104775</xdr:colOff>
      <xdr:row>4</xdr:row>
      <xdr:rowOff>107200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2BD229F-DE72-451B-A00F-B14495B73D47}"/>
            </a:ext>
          </a:extLst>
        </xdr:cNvPr>
        <xdr:cNvSpPr/>
      </xdr:nvSpPr>
      <xdr:spPr>
        <a:xfrm>
          <a:off x="2473035" y="190327"/>
          <a:ext cx="15519690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Sales</a:t>
          </a:r>
        </a:p>
      </xdr:txBody>
    </xdr:sp>
    <xdr:clientData/>
  </xdr:twoCellAnchor>
  <xdr:twoCellAnchor editAs="absolute">
    <xdr:from>
      <xdr:col>1</xdr:col>
      <xdr:colOff>223232</xdr:colOff>
      <xdr:row>8</xdr:row>
      <xdr:rowOff>511072</xdr:rowOff>
    </xdr:from>
    <xdr:to>
      <xdr:col>1</xdr:col>
      <xdr:colOff>439232</xdr:colOff>
      <xdr:row>9</xdr:row>
      <xdr:rowOff>133811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F80F300B-1CDF-4415-B89A-8E35BB8F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9</xdr:row>
      <xdr:rowOff>246293</xdr:rowOff>
    </xdr:from>
    <xdr:to>
      <xdr:col>1</xdr:col>
      <xdr:colOff>439233</xdr:colOff>
      <xdr:row>10</xdr:row>
      <xdr:rowOff>164055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0D235046-1E82-428B-8E8F-FE94FA2B1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13</xdr:row>
      <xdr:rowOff>294346</xdr:rowOff>
    </xdr:from>
    <xdr:to>
      <xdr:col>1</xdr:col>
      <xdr:colOff>481566</xdr:colOff>
      <xdr:row>14</xdr:row>
      <xdr:rowOff>212107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FA539704-74BF-4DA2-BE4C-5733D226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201448</xdr:rowOff>
    </xdr:from>
    <xdr:to>
      <xdr:col>1</xdr:col>
      <xdr:colOff>481566</xdr:colOff>
      <xdr:row>13</xdr:row>
      <xdr:rowOff>122597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FFA6613B-170E-48AA-8F50-17CA0900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11</xdr:row>
      <xdr:rowOff>46879</xdr:rowOff>
    </xdr:from>
    <xdr:to>
      <xdr:col>1</xdr:col>
      <xdr:colOff>498785</xdr:colOff>
      <xdr:row>12</xdr:row>
      <xdr:rowOff>31786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00FB7B3C-1C2B-4A25-92A8-6AD0E3778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16</xdr:row>
      <xdr:rowOff>255613</xdr:rowOff>
    </xdr:from>
    <xdr:to>
      <xdr:col>1</xdr:col>
      <xdr:colOff>536792</xdr:colOff>
      <xdr:row>17</xdr:row>
      <xdr:rowOff>209529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F36AAB76-8DC3-4F7A-AF65-586624A9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15</xdr:row>
      <xdr:rowOff>103398</xdr:rowOff>
    </xdr:from>
    <xdr:to>
      <xdr:col>1</xdr:col>
      <xdr:colOff>466971</xdr:colOff>
      <xdr:row>16</xdr:row>
      <xdr:rowOff>85981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62EA4EF9-AF21-485A-AF34-B9B1953B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18</xdr:row>
      <xdr:rowOff>35205</xdr:rowOff>
    </xdr:from>
    <xdr:to>
      <xdr:col>1</xdr:col>
      <xdr:colOff>535421</xdr:colOff>
      <xdr:row>18</xdr:row>
      <xdr:rowOff>280249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DD3EF2FB-2F68-455C-BB91-7CA3EF14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8</xdr:row>
      <xdr:rowOff>381539</xdr:rowOff>
    </xdr:from>
    <xdr:to>
      <xdr:col>1</xdr:col>
      <xdr:colOff>1831900</xdr:colOff>
      <xdr:row>9</xdr:row>
      <xdr:rowOff>135465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1F7F6-B71D-4E8A-A55A-86382E46F6AC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9</xdr:row>
      <xdr:rowOff>208110</xdr:rowOff>
    </xdr:from>
    <xdr:to>
      <xdr:col>1</xdr:col>
      <xdr:colOff>1789566</xdr:colOff>
      <xdr:row>10</xdr:row>
      <xdr:rowOff>235134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C0F8B-E9C8-47E9-B54C-00E632A4DACC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0</xdr:col>
      <xdr:colOff>151554</xdr:colOff>
      <xdr:row>8</xdr:row>
      <xdr:rowOff>477315</xdr:rowOff>
    </xdr:from>
    <xdr:to>
      <xdr:col>3</xdr:col>
      <xdr:colOff>42334</xdr:colOff>
      <xdr:row>8</xdr:row>
      <xdr:rowOff>887408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524042D-D391-49DF-9D96-D9577AA422AF}"/>
            </a:ext>
          </a:extLst>
        </xdr:cNvPr>
        <xdr:cNvSpPr/>
      </xdr:nvSpPr>
      <xdr:spPr>
        <a:xfrm>
          <a:off x="151554" y="1643175"/>
          <a:ext cx="2336800" cy="623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15</xdr:row>
      <xdr:rowOff>60254</xdr:rowOff>
    </xdr:from>
    <xdr:to>
      <xdr:col>1</xdr:col>
      <xdr:colOff>1704898</xdr:colOff>
      <xdr:row>16</xdr:row>
      <xdr:rowOff>88829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3F8264-2167-4A80-9BA6-8E02AB96FEFA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12</xdr:row>
      <xdr:rowOff>133110</xdr:rowOff>
    </xdr:from>
    <xdr:to>
      <xdr:col>1</xdr:col>
      <xdr:colOff>1583267</xdr:colOff>
      <xdr:row>13</xdr:row>
      <xdr:rowOff>180088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F1C77357-8198-4E42-BC9C-14AB0BC291BA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16</xdr:row>
      <xdr:rowOff>169940</xdr:rowOff>
    </xdr:from>
    <xdr:to>
      <xdr:col>1</xdr:col>
      <xdr:colOff>1374698</xdr:colOff>
      <xdr:row>17</xdr:row>
      <xdr:rowOff>187701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1A5181-C438-4C82-815D-86D1268CF1F6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17</xdr:row>
      <xdr:rowOff>283632</xdr:rowOff>
    </xdr:from>
    <xdr:to>
      <xdr:col>1</xdr:col>
      <xdr:colOff>1739613</xdr:colOff>
      <xdr:row>18</xdr:row>
      <xdr:rowOff>288924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E92246-720E-4482-8C67-FE37A25EC167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11</xdr:row>
      <xdr:rowOff>18854</xdr:rowOff>
    </xdr:from>
    <xdr:to>
      <xdr:col>1</xdr:col>
      <xdr:colOff>1594833</xdr:colOff>
      <xdr:row>12</xdr:row>
      <xdr:rowOff>54115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42C1E8-1890-43F8-B4D9-56E867C68148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13</xdr:row>
      <xdr:rowOff>244266</xdr:rowOff>
    </xdr:from>
    <xdr:to>
      <xdr:col>1</xdr:col>
      <xdr:colOff>1831899</xdr:colOff>
      <xdr:row>14</xdr:row>
      <xdr:rowOff>293467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7A6B2C-D0E2-4863-B19E-42FDED575F2E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8</xdr:row>
      <xdr:rowOff>194735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11DA52F-1366-4541-BA2E-16A3E434310A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168487</xdr:colOff>
      <xdr:row>4</xdr:row>
      <xdr:rowOff>165639</xdr:rowOff>
    </xdr:from>
    <xdr:to>
      <xdr:col>3</xdr:col>
      <xdr:colOff>54187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B49711-F5B9-4CF6-96A5-5893020CBB69}"/>
            </a:ext>
          </a:extLst>
        </xdr:cNvPr>
        <xdr:cNvSpPr/>
      </xdr:nvSpPr>
      <xdr:spPr>
        <a:xfrm>
          <a:off x="168487" y="897159"/>
          <a:ext cx="2331720" cy="17241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 Management System</a:t>
          </a:r>
        </a:p>
      </xdr:txBody>
    </xdr:sp>
    <xdr:clientData/>
  </xdr:twoCellAnchor>
  <xdr:twoCellAnchor>
    <xdr:from>
      <xdr:col>1</xdr:col>
      <xdr:colOff>491067</xdr:colOff>
      <xdr:row>10</xdr:row>
      <xdr:rowOff>60644</xdr:rowOff>
    </xdr:from>
    <xdr:to>
      <xdr:col>2</xdr:col>
      <xdr:colOff>91439</xdr:colOff>
      <xdr:row>12</xdr:row>
      <xdr:rowOff>68579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E2B31B-4893-4923-B707-C83DCC24CBED}"/>
            </a:ext>
          </a:extLst>
        </xdr:cNvPr>
        <xdr:cNvSpPr txBox="1"/>
      </xdr:nvSpPr>
      <xdr:spPr>
        <a:xfrm>
          <a:off x="742527" y="1889444"/>
          <a:ext cx="1680632" cy="388935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33818</xdr:colOff>
      <xdr:row>12</xdr:row>
      <xdr:rowOff>152823</xdr:rowOff>
    </xdr:from>
    <xdr:to>
      <xdr:col>2</xdr:col>
      <xdr:colOff>56678</xdr:colOff>
      <xdr:row>14</xdr:row>
      <xdr:rowOff>68751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58ABD0-707E-45F9-AB28-8A3EDA9059AA}"/>
            </a:ext>
          </a:extLst>
        </xdr:cNvPr>
        <xdr:cNvSpPr txBox="1"/>
      </xdr:nvSpPr>
      <xdr:spPr>
        <a:xfrm>
          <a:off x="285278" y="2362623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226711</xdr:colOff>
      <xdr:row>15</xdr:row>
      <xdr:rowOff>62939</xdr:rowOff>
    </xdr:from>
    <xdr:to>
      <xdr:col>1</xdr:col>
      <xdr:colOff>2075852</xdr:colOff>
      <xdr:row>16</xdr:row>
      <xdr:rowOff>162250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4C360F-6ED6-4A6F-A40B-8616A7E7DFA5}"/>
            </a:ext>
          </a:extLst>
        </xdr:cNvPr>
        <xdr:cNvSpPr txBox="1"/>
      </xdr:nvSpPr>
      <xdr:spPr>
        <a:xfrm>
          <a:off x="226711" y="2821379"/>
          <a:ext cx="2100601" cy="28219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239306</xdr:colOff>
      <xdr:row>17</xdr:row>
      <xdr:rowOff>104420</xdr:rowOff>
    </xdr:from>
    <xdr:to>
      <xdr:col>2</xdr:col>
      <xdr:colOff>10265</xdr:colOff>
      <xdr:row>19</xdr:row>
      <xdr:rowOff>20601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4E00BB-5E40-4FBD-9DC1-8E49FE25A5B2}"/>
            </a:ext>
          </a:extLst>
        </xdr:cNvPr>
        <xdr:cNvSpPr txBox="1"/>
      </xdr:nvSpPr>
      <xdr:spPr>
        <a:xfrm>
          <a:off x="239306" y="3228620"/>
          <a:ext cx="2102679" cy="281941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31487</xdr:colOff>
      <xdr:row>20</xdr:row>
      <xdr:rowOff>21087</xdr:rowOff>
    </xdr:from>
    <xdr:to>
      <xdr:col>2</xdr:col>
      <xdr:colOff>54347</xdr:colOff>
      <xdr:row>21</xdr:row>
      <xdr:rowOff>119895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1E64C4-4CFE-48A6-834B-E4BA43794FBA}"/>
            </a:ext>
          </a:extLst>
        </xdr:cNvPr>
        <xdr:cNvSpPr txBox="1"/>
      </xdr:nvSpPr>
      <xdr:spPr>
        <a:xfrm>
          <a:off x="282947" y="3693927"/>
          <a:ext cx="2103120" cy="28168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234898</xdr:colOff>
      <xdr:row>22</xdr:row>
      <xdr:rowOff>73653</xdr:rowOff>
    </xdr:from>
    <xdr:to>
      <xdr:col>2</xdr:col>
      <xdr:colOff>6298</xdr:colOff>
      <xdr:row>23</xdr:row>
      <xdr:rowOff>172965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C55CCF-AF4C-4C43-B695-4E803E1E4EDB}"/>
            </a:ext>
          </a:extLst>
        </xdr:cNvPr>
        <xdr:cNvSpPr txBox="1"/>
      </xdr:nvSpPr>
      <xdr:spPr>
        <a:xfrm>
          <a:off x="234898" y="4112253"/>
          <a:ext cx="2103120" cy="282192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106751</xdr:colOff>
      <xdr:row>24</xdr:row>
      <xdr:rowOff>101484</xdr:rowOff>
    </xdr:from>
    <xdr:to>
      <xdr:col>1</xdr:col>
      <xdr:colOff>1957970</xdr:colOff>
      <xdr:row>26</xdr:row>
      <xdr:rowOff>17664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8373C0-5D77-465C-9AE6-B5DB58E6D955}"/>
            </a:ext>
          </a:extLst>
        </xdr:cNvPr>
        <xdr:cNvSpPr txBox="1"/>
      </xdr:nvSpPr>
      <xdr:spPr>
        <a:xfrm>
          <a:off x="106751" y="4505844"/>
          <a:ext cx="2102679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204579</xdr:colOff>
      <xdr:row>26</xdr:row>
      <xdr:rowOff>135510</xdr:rowOff>
    </xdr:from>
    <xdr:to>
      <xdr:col>1</xdr:col>
      <xdr:colOff>2056239</xdr:colOff>
      <xdr:row>28</xdr:row>
      <xdr:rowOff>51690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C23438-887C-4320-9914-4847B80044CF}"/>
            </a:ext>
          </a:extLst>
        </xdr:cNvPr>
        <xdr:cNvSpPr txBox="1"/>
      </xdr:nvSpPr>
      <xdr:spPr>
        <a:xfrm>
          <a:off x="204579" y="4905630"/>
          <a:ext cx="2103120" cy="281940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27835</xdr:colOff>
      <xdr:row>26</xdr:row>
      <xdr:rowOff>75193</xdr:rowOff>
    </xdr:from>
    <xdr:to>
      <xdr:col>1</xdr:col>
      <xdr:colOff>1752600</xdr:colOff>
      <xdr:row>26</xdr:row>
      <xdr:rowOff>127001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943860C-D430-4183-A8E6-35BCC5FF8A03}"/>
            </a:ext>
          </a:extLst>
        </xdr:cNvPr>
        <xdr:cNvSpPr txBox="1"/>
      </xdr:nvSpPr>
      <xdr:spPr>
        <a:xfrm>
          <a:off x="279295" y="4845313"/>
          <a:ext cx="1724765" cy="51808"/>
        </a:xfrm>
        <a:prstGeom prst="rect">
          <a:avLst/>
        </a:prstGeom>
        <a:ln w="9525" cmpd="sng">
          <a:solidFill>
            <a:schemeClr val="lt1">
              <a:shade val="50000"/>
            </a:schemeClr>
          </a:solidFill>
        </a:ln>
        <a:effectLst>
          <a:softEdge rad="127000"/>
        </a:effectLst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1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746760</xdr:colOff>
      <xdr:row>0</xdr:row>
      <xdr:rowOff>169335</xdr:rowOff>
    </xdr:from>
    <xdr:to>
      <xdr:col>1</xdr:col>
      <xdr:colOff>1371600</xdr:colOff>
      <xdr:row>4</xdr:row>
      <xdr:rowOff>60328</xdr:rowOff>
    </xdr:to>
    <xdr:pic>
      <xdr:nvPicPr>
        <xdr:cNvPr id="12" name="Graphic 11" descr="List with solid fill">
          <a:extLst>
            <a:ext uri="{FF2B5EF4-FFF2-40B4-BE49-F238E27FC236}">
              <a16:creationId xmlns:a16="http://schemas.microsoft.com/office/drawing/2014/main" id="{FBFC5B2F-484E-4061-9C1E-144A969D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8220" y="169335"/>
          <a:ext cx="624840" cy="622513"/>
        </a:xfrm>
        <a:prstGeom prst="rect">
          <a:avLst/>
        </a:prstGeom>
      </xdr:spPr>
    </xdr:pic>
    <xdr:clientData/>
  </xdr:twoCellAnchor>
  <xdr:twoCellAnchor editAs="absolute">
    <xdr:from>
      <xdr:col>2</xdr:col>
      <xdr:colOff>110834</xdr:colOff>
      <xdr:row>0</xdr:row>
      <xdr:rowOff>180802</xdr:rowOff>
    </xdr:from>
    <xdr:to>
      <xdr:col>11</xdr:col>
      <xdr:colOff>600074</xdr:colOff>
      <xdr:row>4</xdr:row>
      <xdr:rowOff>97675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6E22A75-251D-45CC-9618-D31FA0CF87E6}"/>
            </a:ext>
          </a:extLst>
        </xdr:cNvPr>
        <xdr:cNvSpPr/>
      </xdr:nvSpPr>
      <xdr:spPr>
        <a:xfrm>
          <a:off x="2434934" y="180802"/>
          <a:ext cx="9090315" cy="640773"/>
        </a:xfrm>
        <a:prstGeom prst="rect">
          <a:avLst/>
        </a:prstGeom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   Inventory</a:t>
          </a:r>
        </a:p>
      </xdr:txBody>
    </xdr:sp>
    <xdr:clientData/>
  </xdr:twoCellAnchor>
  <xdr:twoCellAnchor editAs="absolute">
    <xdr:from>
      <xdr:col>1</xdr:col>
      <xdr:colOff>223232</xdr:colOff>
      <xdr:row>8</xdr:row>
      <xdr:rowOff>280356</xdr:rowOff>
    </xdr:from>
    <xdr:to>
      <xdr:col>1</xdr:col>
      <xdr:colOff>439232</xdr:colOff>
      <xdr:row>9</xdr:row>
      <xdr:rowOff>198370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DC0C1B61-E8FB-484E-99DE-34198D3C5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4692" y="1971572"/>
          <a:ext cx="216000" cy="21625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223233</xdr:colOff>
      <xdr:row>10</xdr:row>
      <xdr:rowOff>21927</xdr:rowOff>
    </xdr:from>
    <xdr:to>
      <xdr:col>1</xdr:col>
      <xdr:colOff>439233</xdr:colOff>
      <xdr:row>10</xdr:row>
      <xdr:rowOff>234964</xdr:rowOff>
    </xdr:to>
    <xdr:pic>
      <xdr:nvPicPr>
        <xdr:cNvPr id="15" name="Graphic 14" descr="Target Audience with solid fill">
          <a:extLst>
            <a:ext uri="{FF2B5EF4-FFF2-40B4-BE49-F238E27FC236}">
              <a16:creationId xmlns:a16="http://schemas.microsoft.com/office/drawing/2014/main" id="{96D6864E-374E-44EE-9151-83DE215A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693" y="231004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14</xdr:row>
      <xdr:rowOff>69980</xdr:rowOff>
    </xdr:from>
    <xdr:to>
      <xdr:col>1</xdr:col>
      <xdr:colOff>481566</xdr:colOff>
      <xdr:row>14</xdr:row>
      <xdr:rowOff>283016</xdr:rowOff>
    </xdr:to>
    <xdr:pic>
      <xdr:nvPicPr>
        <xdr:cNvPr id="16" name="Graphic 15" descr="Male profile with solid fill">
          <a:extLst>
            <a:ext uri="{FF2B5EF4-FFF2-40B4-BE49-F238E27FC236}">
              <a16:creationId xmlns:a16="http://schemas.microsoft.com/office/drawing/2014/main" id="{539792B8-0F33-471C-86EA-FD51D332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517026" y="354724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</xdr:col>
      <xdr:colOff>265566</xdr:colOff>
      <xdr:row>12</xdr:row>
      <xdr:rowOff>266007</xdr:rowOff>
    </xdr:from>
    <xdr:to>
      <xdr:col>1</xdr:col>
      <xdr:colOff>481566</xdr:colOff>
      <xdr:row>13</xdr:row>
      <xdr:rowOff>187156</xdr:rowOff>
    </xdr:to>
    <xdr:pic>
      <xdr:nvPicPr>
        <xdr:cNvPr id="17" name="Graphic 16" descr="Meeting with solid fill">
          <a:extLst>
            <a:ext uri="{FF2B5EF4-FFF2-40B4-BE49-F238E27FC236}">
              <a16:creationId xmlns:a16="http://schemas.microsoft.com/office/drawing/2014/main" id="{2537791D-C5D4-40E6-8479-245DB42F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517026" y="3153140"/>
          <a:ext cx="216000" cy="219387"/>
        </a:xfrm>
        <a:prstGeom prst="rect">
          <a:avLst/>
        </a:prstGeom>
      </xdr:spPr>
    </xdr:pic>
    <xdr:clientData/>
  </xdr:twoCellAnchor>
  <xdr:twoCellAnchor editAs="absolute">
    <xdr:from>
      <xdr:col>1</xdr:col>
      <xdr:colOff>214766</xdr:colOff>
      <xdr:row>11</xdr:row>
      <xdr:rowOff>111438</xdr:rowOff>
    </xdr:from>
    <xdr:to>
      <xdr:col>1</xdr:col>
      <xdr:colOff>498785</xdr:colOff>
      <xdr:row>12</xdr:row>
      <xdr:rowOff>96345</xdr:rowOff>
    </xdr:to>
    <xdr:pic>
      <xdr:nvPicPr>
        <xdr:cNvPr id="18" name="Graphic 17" descr="Robot with solid fill">
          <a:extLst>
            <a:ext uri="{FF2B5EF4-FFF2-40B4-BE49-F238E27FC236}">
              <a16:creationId xmlns:a16="http://schemas.microsoft.com/office/drawing/2014/main" id="{FEDB97BC-B3C5-4861-86F7-3B764831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H="1">
          <a:off x="466226" y="2700756"/>
          <a:ext cx="284019" cy="279759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17</xdr:row>
      <xdr:rowOff>24897</xdr:rowOff>
    </xdr:from>
    <xdr:to>
      <xdr:col>1</xdr:col>
      <xdr:colOff>536792</xdr:colOff>
      <xdr:row>17</xdr:row>
      <xdr:rowOff>274088</xdr:rowOff>
    </xdr:to>
    <xdr:pic>
      <xdr:nvPicPr>
        <xdr:cNvPr id="19" name="Graphic 18" descr="Business Growth with solid fill">
          <a:extLst>
            <a:ext uri="{FF2B5EF4-FFF2-40B4-BE49-F238E27FC236}">
              <a16:creationId xmlns:a16="http://schemas.microsoft.com/office/drawing/2014/main" id="{6CA0B9FE-E54F-4C7E-BAC6-4C46A507F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42425" y="4399835"/>
          <a:ext cx="245827" cy="248768"/>
        </a:xfrm>
        <a:prstGeom prst="rect">
          <a:avLst/>
        </a:prstGeom>
      </xdr:spPr>
    </xdr:pic>
    <xdr:clientData/>
  </xdr:twoCellAnchor>
  <xdr:twoCellAnchor editAs="absolute">
    <xdr:from>
      <xdr:col>1</xdr:col>
      <xdr:colOff>180899</xdr:colOff>
      <xdr:row>15</xdr:row>
      <xdr:rowOff>167957</xdr:rowOff>
    </xdr:from>
    <xdr:to>
      <xdr:col>1</xdr:col>
      <xdr:colOff>466971</xdr:colOff>
      <xdr:row>16</xdr:row>
      <xdr:rowOff>156890</xdr:rowOff>
    </xdr:to>
    <xdr:pic>
      <xdr:nvPicPr>
        <xdr:cNvPr id="20" name="Graphic 19" descr="Handshake with solid fill">
          <a:extLst>
            <a:ext uri="{FF2B5EF4-FFF2-40B4-BE49-F238E27FC236}">
              <a16:creationId xmlns:a16="http://schemas.microsoft.com/office/drawing/2014/main" id="{8AB5309D-ACDA-4E23-92BC-5F71C7B3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32359" y="3946418"/>
          <a:ext cx="286072" cy="283785"/>
        </a:xfrm>
        <a:prstGeom prst="rect">
          <a:avLst/>
        </a:prstGeom>
      </xdr:spPr>
    </xdr:pic>
    <xdr:clientData/>
  </xdr:twoCellAnchor>
  <xdr:twoCellAnchor editAs="absolute">
    <xdr:from>
      <xdr:col>1</xdr:col>
      <xdr:colOff>290965</xdr:colOff>
      <xdr:row>18</xdr:row>
      <xdr:rowOff>106114</xdr:rowOff>
    </xdr:from>
    <xdr:to>
      <xdr:col>1</xdr:col>
      <xdr:colOff>535421</xdr:colOff>
      <xdr:row>19</xdr:row>
      <xdr:rowOff>55883</xdr:rowOff>
    </xdr:to>
    <xdr:pic>
      <xdr:nvPicPr>
        <xdr:cNvPr id="21" name="Graphic 20" descr="Document with solid fill">
          <a:extLst>
            <a:ext uri="{FF2B5EF4-FFF2-40B4-BE49-F238E27FC236}">
              <a16:creationId xmlns:a16="http://schemas.microsoft.com/office/drawing/2014/main" id="{8926FA3D-9C7D-4899-BEF4-DE6A4C2D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42425" y="4772517"/>
          <a:ext cx="244456" cy="248007"/>
        </a:xfrm>
        <a:prstGeom prst="rect">
          <a:avLst/>
        </a:prstGeom>
      </xdr:spPr>
    </xdr:pic>
    <xdr:clientData/>
  </xdr:twoCellAnchor>
  <xdr:twoCellAnchor editAs="absolute">
    <xdr:from>
      <xdr:col>1</xdr:col>
      <xdr:colOff>451832</xdr:colOff>
      <xdr:row>8</xdr:row>
      <xdr:rowOff>157173</xdr:rowOff>
    </xdr:from>
    <xdr:to>
      <xdr:col>1</xdr:col>
      <xdr:colOff>1831900</xdr:colOff>
      <xdr:row>9</xdr:row>
      <xdr:rowOff>200024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B0F1A-070B-402D-93E6-918E3DFEEEC0}"/>
            </a:ext>
          </a:extLst>
        </xdr:cNvPr>
        <xdr:cNvSpPr/>
      </xdr:nvSpPr>
      <xdr:spPr>
        <a:xfrm>
          <a:off x="703292" y="1842039"/>
          <a:ext cx="1380068" cy="347440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Dashb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oard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451832</xdr:colOff>
      <xdr:row>9</xdr:row>
      <xdr:rowOff>279019</xdr:rowOff>
    </xdr:from>
    <xdr:to>
      <xdr:col>1</xdr:col>
      <xdr:colOff>1789566</xdr:colOff>
      <xdr:row>11</xdr:row>
      <xdr:rowOff>10768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FE2EE1-BD59-426C-8904-BD81E86C18DB}"/>
            </a:ext>
          </a:extLst>
        </xdr:cNvPr>
        <xdr:cNvSpPr/>
      </xdr:nvSpPr>
      <xdr:spPr>
        <a:xfrm>
          <a:off x="703292" y="2271860"/>
          <a:ext cx="1337734" cy="321876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Customer</a:t>
          </a:r>
        </a:p>
      </xdr:txBody>
    </xdr:sp>
    <xdr:clientData/>
  </xdr:twoCellAnchor>
  <xdr:twoCellAnchor>
    <xdr:from>
      <xdr:col>3</xdr:col>
      <xdr:colOff>75355</xdr:colOff>
      <xdr:row>20</xdr:row>
      <xdr:rowOff>189446</xdr:rowOff>
    </xdr:from>
    <xdr:to>
      <xdr:col>4</xdr:col>
      <xdr:colOff>1236134</xdr:colOff>
      <xdr:row>20</xdr:row>
      <xdr:rowOff>235165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5E69F40-574E-4442-BC51-C9A67516CEAA}"/>
            </a:ext>
          </a:extLst>
        </xdr:cNvPr>
        <xdr:cNvSpPr/>
      </xdr:nvSpPr>
      <xdr:spPr>
        <a:xfrm>
          <a:off x="2530688" y="4879979"/>
          <a:ext cx="2346113" cy="4571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  <a:p>
          <a:pPr algn="ctr"/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443365</xdr:colOff>
      <xdr:row>15</xdr:row>
      <xdr:rowOff>124813</xdr:rowOff>
    </xdr:from>
    <xdr:to>
      <xdr:col>1</xdr:col>
      <xdr:colOff>1704898</xdr:colOff>
      <xdr:row>16</xdr:row>
      <xdr:rowOff>153388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4A90B4-7E4C-4A8A-9B8A-4483FC005E04}"/>
            </a:ext>
          </a:extLst>
        </xdr:cNvPr>
        <xdr:cNvSpPr/>
      </xdr:nvSpPr>
      <xdr:spPr>
        <a:xfrm>
          <a:off x="694825" y="3903274"/>
          <a:ext cx="1261533" cy="323427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426433</xdr:colOff>
      <xdr:row>12</xdr:row>
      <xdr:rowOff>204019</xdr:rowOff>
    </xdr:from>
    <xdr:to>
      <xdr:col>1</xdr:col>
      <xdr:colOff>1583267</xdr:colOff>
      <xdr:row>13</xdr:row>
      <xdr:rowOff>244647</xdr:rowOff>
    </xdr:to>
    <xdr:sp macro="" textlink="">
      <xdr:nvSpPr>
        <xdr:cNvPr id="26" name="Rectangl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FD63E20F-A270-4598-9AF7-6EBC4B317A02}"/>
            </a:ext>
          </a:extLst>
        </xdr:cNvPr>
        <xdr:cNvSpPr/>
      </xdr:nvSpPr>
      <xdr:spPr>
        <a:xfrm>
          <a:off x="677893" y="3088189"/>
          <a:ext cx="1156834" cy="34182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Vendor</a:t>
          </a:r>
        </a:p>
      </xdr:txBody>
    </xdr:sp>
    <xdr:clientData/>
  </xdr:twoCellAnchor>
  <xdr:twoCellAnchor editAs="absolute">
    <xdr:from>
      <xdr:col>1</xdr:col>
      <xdr:colOff>477232</xdr:colOff>
      <xdr:row>16</xdr:row>
      <xdr:rowOff>240849</xdr:rowOff>
    </xdr:from>
    <xdr:to>
      <xdr:col>1</xdr:col>
      <xdr:colOff>1374698</xdr:colOff>
      <xdr:row>17</xdr:row>
      <xdr:rowOff>252260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701E51-D0C4-4C3E-BDE2-C525DDA8E602}"/>
            </a:ext>
          </a:extLst>
        </xdr:cNvPr>
        <xdr:cNvSpPr/>
      </xdr:nvSpPr>
      <xdr:spPr>
        <a:xfrm>
          <a:off x="728692" y="4314162"/>
          <a:ext cx="897466" cy="31261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 editAs="absolute">
    <xdr:from>
      <xdr:col>1</xdr:col>
      <xdr:colOff>477232</xdr:colOff>
      <xdr:row>18</xdr:row>
      <xdr:rowOff>52916</xdr:rowOff>
    </xdr:from>
    <xdr:to>
      <xdr:col>1</xdr:col>
      <xdr:colOff>1739613</xdr:colOff>
      <xdr:row>19</xdr:row>
      <xdr:rowOff>64558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6677D2-2831-468C-88B9-950C57735BBC}"/>
            </a:ext>
          </a:extLst>
        </xdr:cNvPr>
        <xdr:cNvSpPr/>
      </xdr:nvSpPr>
      <xdr:spPr>
        <a:xfrm>
          <a:off x="728692" y="4722706"/>
          <a:ext cx="1262381" cy="30649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10000"/>
                </a:schemeClr>
              </a:solidFill>
              <a:latin typeface="Arial Black" panose="020B0A04020102020204" pitchFamily="34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451832</xdr:colOff>
      <xdr:row>11</xdr:row>
      <xdr:rowOff>83413</xdr:rowOff>
    </xdr:from>
    <xdr:to>
      <xdr:col>1</xdr:col>
      <xdr:colOff>1594833</xdr:colOff>
      <xdr:row>12</xdr:row>
      <xdr:rowOff>125024</xdr:rowOff>
    </xdr:to>
    <xdr:sp macro="" textlink="">
      <xdr:nvSpPr>
        <xdr:cNvPr id="29" name="Rectang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15DCE5-6589-44B7-B9B2-BC62DBCB4A17}"/>
            </a:ext>
          </a:extLst>
        </xdr:cNvPr>
        <xdr:cNvSpPr/>
      </xdr:nvSpPr>
      <xdr:spPr>
        <a:xfrm>
          <a:off x="703292" y="2672731"/>
          <a:ext cx="1143001" cy="336463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Product</a:t>
          </a:r>
        </a:p>
      </xdr:txBody>
    </xdr:sp>
    <xdr:clientData/>
  </xdr:twoCellAnchor>
  <xdr:twoCellAnchor editAs="absolute">
    <xdr:from>
      <xdr:col>1</xdr:col>
      <xdr:colOff>485699</xdr:colOff>
      <xdr:row>14</xdr:row>
      <xdr:rowOff>19900</xdr:rowOff>
    </xdr:from>
    <xdr:to>
      <xdr:col>1</xdr:col>
      <xdr:colOff>1831899</xdr:colOff>
      <xdr:row>15</xdr:row>
      <xdr:rowOff>69101</xdr:rowOff>
    </xdr:to>
    <xdr:sp macro="" textlink="">
      <xdr:nvSpPr>
        <xdr:cNvPr id="30" name="Rectangle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417440-F67B-4F6C-945D-3FC7B5474D26}"/>
            </a:ext>
          </a:extLst>
        </xdr:cNvPr>
        <xdr:cNvSpPr/>
      </xdr:nvSpPr>
      <xdr:spPr>
        <a:xfrm>
          <a:off x="737159" y="3497160"/>
          <a:ext cx="1346200" cy="347439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New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Entry</a:t>
          </a:r>
          <a:endParaRPr lang="en-IN" sz="1600" b="1">
            <a:ln>
              <a:solidFill>
                <a:schemeClr val="bg1"/>
              </a:solidFill>
            </a:ln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135467</xdr:colOff>
      <xdr:row>3</xdr:row>
      <xdr:rowOff>143934</xdr:rowOff>
    </xdr:from>
    <xdr:to>
      <xdr:col>1</xdr:col>
      <xdr:colOff>2015067</xdr:colOff>
      <xdr:row>7</xdr:row>
      <xdr:rowOff>261410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85FA6D2-B291-4125-8DE0-E71DAAC608FF}"/>
            </a:ext>
          </a:extLst>
        </xdr:cNvPr>
        <xdr:cNvSpPr/>
      </xdr:nvSpPr>
      <xdr:spPr>
        <a:xfrm>
          <a:off x="386927" y="692574"/>
          <a:ext cx="1879600" cy="961814"/>
        </a:xfrm>
        <a:prstGeom prst="rect">
          <a:avLst/>
        </a:prstGeom>
        <a:effectLst>
          <a:softEdge rad="6350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Inventory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1"/>
              </a:solidFill>
              <a:latin typeface="Arial Black" panose="020B0A04020102020204" pitchFamily="34" charset="0"/>
            </a:rPr>
            <a:t> Management System</a:t>
          </a:r>
          <a:endParaRPr lang="en-IN"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2.96208449074" createdVersion="8" refreshedVersion="8" minRefreshableVersion="3" recordCount="7" xr:uid="{8BE93EE4-B092-4F8A-B76D-E16C4873E0BB}">
  <cacheSource type="worksheet">
    <worksheetSource name="customer1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2.963232175927" createdVersion="8" refreshedVersion="8" minRefreshableVersion="3" recordCount="10" xr:uid="{A94E2908-7335-4CD5-BE9E-4A18F3C05882}">
  <cacheSource type="worksheet">
    <worksheetSource name="productT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2.963886574071" createdVersion="8" refreshedVersion="8" minRefreshableVersion="3" recordCount="13" xr:uid="{D2FF0CC9-EB42-40DD-B1AA-FC3DAC8286F3}">
  <cacheSource type="worksheet">
    <worksheetSource name="Purchasetabl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2-06T00:00:00"/>
    </cacheField>
    <cacheField name="Units" numFmtId="0">
      <sharedItems containsString="0" containsBlank="1" containsNumber="1" containsInteger="1" minValue="10" maxValue="100"/>
    </cacheField>
    <cacheField name="Cost" numFmtId="0">
      <sharedItems containsMixedTypes="1" containsNumber="1" containsInteger="1" minValue="200" maxValue="52000"/>
    </cacheField>
    <cacheField name="Amount" numFmtId="0">
      <sharedItems containsMixedTypes="1" containsNumber="1" containsInteger="1" minValue="9800" maxValue="10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2.964671759262" createdVersion="8" refreshedVersion="8" minRefreshableVersion="3" recordCount="21" xr:uid="{7702412C-0185-4D26-A14E-E54B1876A548}">
  <cacheSource type="worksheet">
    <worksheetSource name="Table2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Ram sales"/>
        <s v="Atul Ltd."/>
        <s v="MK Tech."/>
        <s v="99store"/>
        <s v="Rajesh Kumar"/>
        <s v="Amit"/>
        <s v="Jain Tel."/>
        <s v=""/>
      </sharedItems>
    </cacheField>
    <cacheField name="HSN Code" numFmtId="0">
      <sharedItems containsBlank="1"/>
    </cacheField>
    <cacheField name="Product Name" numFmtId="0">
      <sharedItems/>
    </cacheField>
    <cacheField name="Date" numFmtId="0">
      <sharedItems containsNonDate="0" containsDate="1" containsString="0" containsBlank="1" minDate="2024-01-01T00:00:00" maxDate="2024-02-06T00:00:00"/>
    </cacheField>
    <cacheField name="Stock(Units)" numFmtId="0">
      <sharedItems containsString="0" containsBlank="1" containsNumber="1" containsInteger="1" minValue="150" maxValue="51950"/>
    </cacheField>
    <cacheField name="Units" numFmtId="0">
      <sharedItems containsString="0" containsBlank="1" containsNumber="1" containsInteger="1" minValue="10" maxValue="100"/>
    </cacheField>
    <cacheField name="Price" numFmtId="0">
      <sharedItems containsMixedTypes="1" containsNumber="1" minValue="240" maxValue="62400"/>
    </cacheField>
    <cacheField name="Amount" numFmtId="0">
      <sharedItems containsMixedTypes="1" containsNumber="1" containsInteger="1" minValue="11760" maxValue="24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2.965391898149" createdVersion="8" refreshedVersion="8" minRefreshableVersion="3" recordCount="20" xr:uid="{6A10AFF1-DA54-420C-A027-3AC08E8649DF}">
  <cacheSource type="worksheet">
    <worksheetSource name="Table5"/>
  </cacheSource>
  <cacheFields count="7">
    <cacheField name="HSN Code" numFmtId="0">
      <sharedItems containsBlank="1" containsMixedTypes="1" containsNumber="1" containsInteger="1" minValue="0" maxValue="0"/>
    </cacheField>
    <cacheField name="Product Name" numFmtId="0">
      <sharedItems containsBlank="1"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m/>
      </sharedItems>
    </cacheField>
    <cacheField name="Cost" numFmtId="0">
      <sharedItems containsString="0" containsBlank="1" containsNumber="1" containsInteger="1" minValue="200" maxValue="52000"/>
    </cacheField>
    <cacheField name="P Units" numFmtId="0">
      <sharedItems containsString="0" containsBlank="1" containsNumber="1" containsInteger="1" minValue="200" maxValue="52000"/>
    </cacheField>
    <cacheField name="S Units" numFmtId="0">
      <sharedItems containsString="0" containsBlank="1" containsNumber="1" containsInteger="1" minValue="10" maxValue="100"/>
    </cacheField>
    <cacheField name="Stock" numFmtId="0">
      <sharedItems containsString="0" containsBlank="1" containsNumber="1" containsInteger="1" minValue="150" maxValue="51950"/>
    </cacheField>
    <cacheField name="Stock Amt" numFmtId="0">
      <sharedItems containsString="0" containsBlank="1" containsNumber="1" containsInteger="1" minValue="30000" maxValue="27014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" refreshedDate="46213.936175694442" createdVersion="8" refreshedVersion="8" minRefreshableVersion="3" recordCount="20" xr:uid="{3D527F23-430C-4170-8CC3-D7285E0D3388}">
  <cacheSource type="worksheet">
    <worksheetSource ref="D7:K27" sheet="Inventory"/>
  </cacheSource>
  <cacheFields count="8">
    <cacheField name="HSN Code" numFmtId="0">
      <sharedItems containsBlank="1" containsMixedTypes="1" containsNumber="1" containsInteger="1" minValue="0" maxValue="0"/>
    </cacheField>
    <cacheField name="Product Name" numFmtId="0">
      <sharedItems containsBlank="1"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m/>
      </sharedItems>
    </cacheField>
    <cacheField name="Cost" numFmtId="0">
      <sharedItems containsString="0" containsBlank="1" containsNumber="1" containsInteger="1" minValue="200" maxValue="52000"/>
    </cacheField>
    <cacheField name="P Units" numFmtId="0">
      <sharedItems containsString="0" containsBlank="1" containsNumber="1" containsInteger="1" minValue="200" maxValue="52000"/>
    </cacheField>
    <cacheField name="S Units" numFmtId="0">
      <sharedItems containsString="0" containsBlank="1" containsNumber="1" containsInteger="1" minValue="10" maxValue="100"/>
    </cacheField>
    <cacheField name="Stock" numFmtId="0">
      <sharedItems containsString="0" containsBlank="1" containsNumber="1" containsInteger="1" minValue="150" maxValue="51950"/>
    </cacheField>
    <cacheField name="Stock Amt" numFmtId="0">
      <sharedItems containsString="0" containsBlank="1" containsNumber="1" containsInteger="1" minValue="30000" maxValue="2701400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"/>
    <s v="Delhi, India"/>
  </r>
  <r>
    <n v="101"/>
    <s v="Atul Ltd."/>
    <s v="Atu@gmail.cc"/>
    <s v="121102, Palwal, HR"/>
  </r>
  <r>
    <n v="102"/>
    <s v="MK Tech."/>
    <s v="MK@gmail.cc"/>
    <s v="Faridabad, 121101"/>
  </r>
  <r>
    <n v="103"/>
    <s v="99store"/>
    <s v="99s@gmail.c"/>
    <s v="Agra, UP"/>
  </r>
  <r>
    <n v="104"/>
    <s v="Rajesh Kumar"/>
    <s v="Raj@gmail.cc"/>
    <s v="New Delhi, 110011"/>
  </r>
  <r>
    <n v="105"/>
    <s v="Amit"/>
    <s v="Ami@gmail.c"/>
    <s v="Gurgaon, Sec-15"/>
  </r>
  <r>
    <n v="106"/>
    <s v="Jain Tel."/>
    <s v="Jai@gmail.co"/>
    <s v="Janpath, New Delh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s v="Tech99"/>
    <d v="2024-01-01T00:00:00"/>
    <n v="10"/>
    <n v="980"/>
    <n v="9800"/>
  </r>
  <r>
    <s v="N1002"/>
    <s v="Laptop HP xyz i5"/>
    <s v="Tech99"/>
    <d v="2024-01-01T00:00:00"/>
    <n v="10"/>
    <n v="34500"/>
    <n v="345000"/>
  </r>
  <r>
    <s v="N1003"/>
    <s v="Wireless Printer"/>
    <s v="Tech99"/>
    <d v="2024-02-01T00:00:00"/>
    <n v="50"/>
    <n v="4600"/>
    <n v="230000"/>
  </r>
  <r>
    <s v="N1004"/>
    <s v="Desktop"/>
    <s v="GG Traders"/>
    <d v="2024-02-01T00:00:00"/>
    <n v="50"/>
    <n v="21000"/>
    <n v="1050000"/>
  </r>
  <r>
    <s v="N1005"/>
    <s v="Mouse"/>
    <s v="GG Traders"/>
    <d v="2024-02-01T00:00:00"/>
    <n v="50"/>
    <n v="200"/>
    <n v="10000"/>
  </r>
  <r>
    <s v="N1006"/>
    <s v="Rgb Keyboard"/>
    <s v="GG Traders"/>
    <d v="2024-02-01T00:00:00"/>
    <n v="100"/>
    <n v="340"/>
    <n v="34000"/>
  </r>
  <r>
    <s v="N1007"/>
    <s v="Camera"/>
    <s v="GG Traders"/>
    <d v="2024-02-01T00:00:00"/>
    <n v="10"/>
    <n v="52000"/>
    <n v="520000"/>
  </r>
  <r>
    <s v="N1008"/>
    <s v="Headphones"/>
    <s v="Compac"/>
    <d v="2024-02-02T00:00:00"/>
    <n v="20"/>
    <n v="799"/>
    <n v="15980"/>
  </r>
  <r>
    <s v="N1009"/>
    <s v="Speakers"/>
    <s v="Compac"/>
    <d v="2024-02-03T00:00:00"/>
    <n v="30"/>
    <n v="670"/>
    <n v="20100"/>
  </r>
  <r>
    <s v="N1010"/>
    <s v="Tablets"/>
    <s v="Compac"/>
    <d v="2024-02-04T00:00:00"/>
    <n v="25"/>
    <n v="23500"/>
    <n v="587500"/>
  </r>
  <r>
    <s v="N1006"/>
    <s v="Rgb Keyboard"/>
    <s v="GG Traders"/>
    <d v="2024-02-05T00:00:00"/>
    <n v="40"/>
    <n v="340"/>
    <n v="13600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00"/>
    <x v="0"/>
    <s v="N1001"/>
    <s v="Smart Watch"/>
    <d v="2024-01-01T00:00:00"/>
    <n v="970"/>
    <n v="10"/>
    <n v="1176"/>
    <n v="11760"/>
  </r>
  <r>
    <n v="101"/>
    <x v="1"/>
    <s v="N1002"/>
    <s v="Laptop HP xyz i5"/>
    <d v="2024-01-01T00:00:00"/>
    <n v="34490"/>
    <n v="10"/>
    <n v="41400"/>
    <n v="414000"/>
  </r>
  <r>
    <n v="102"/>
    <x v="2"/>
    <s v="N1003"/>
    <s v="Wireless Printer"/>
    <d v="2024-02-01T00:00:00"/>
    <n v="4550"/>
    <n v="50"/>
    <n v="5520"/>
    <n v="276000"/>
  </r>
  <r>
    <n v="103"/>
    <x v="3"/>
    <s v="N1004"/>
    <s v="Desktop"/>
    <d v="2024-02-01T00:00:00"/>
    <n v="20950"/>
    <n v="50"/>
    <n v="25200"/>
    <n v="1260000"/>
  </r>
  <r>
    <n v="104"/>
    <x v="4"/>
    <s v="N1005"/>
    <s v="Mouse"/>
    <d v="2024-02-01T00:00:00"/>
    <n v="150"/>
    <n v="50"/>
    <n v="240"/>
    <n v="12000"/>
  </r>
  <r>
    <n v="105"/>
    <x v="5"/>
    <s v="N1006"/>
    <s v="Rgb Keyboard"/>
    <d v="2024-02-01T00:00:00"/>
    <n v="580"/>
    <n v="100"/>
    <n v="408"/>
    <n v="40800"/>
  </r>
  <r>
    <n v="106"/>
    <x v="6"/>
    <s v="N1007"/>
    <s v="Camera"/>
    <d v="2024-02-01T00:00:00"/>
    <n v="51950"/>
    <n v="10"/>
    <n v="62400"/>
    <n v="624000"/>
  </r>
  <r>
    <n v="105"/>
    <x v="5"/>
    <s v="N1008"/>
    <s v="Headphones"/>
    <d v="2024-02-02T00:00:00"/>
    <n v="779"/>
    <n v="20"/>
    <n v="958.8"/>
    <n v="19176"/>
  </r>
  <r>
    <n v="106"/>
    <x v="6"/>
    <s v="N1009"/>
    <s v="Speakers"/>
    <d v="2024-02-03T00:00:00"/>
    <n v="640"/>
    <n v="30"/>
    <n v="804"/>
    <n v="24120"/>
  </r>
  <r>
    <n v="101"/>
    <x v="1"/>
    <s v="N1010"/>
    <s v="Tablets"/>
    <d v="2024-02-04T00:00:00"/>
    <n v="23475"/>
    <n v="25"/>
    <n v="28200"/>
    <n v="705000"/>
  </r>
  <r>
    <n v="100"/>
    <x v="0"/>
    <s v="N1007"/>
    <s v="Camera"/>
    <d v="2024-02-05T00:00:00"/>
    <m/>
    <n v="40"/>
    <n v="62400"/>
    <n v="2496000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  <r>
    <m/>
    <x v="7"/>
    <m/>
    <s v=""/>
    <m/>
    <m/>
    <m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N1001"/>
    <x v="0"/>
    <n v="980"/>
    <n v="980"/>
    <n v="10"/>
    <n v="970"/>
    <n v="950600"/>
  </r>
  <r>
    <s v="N1002"/>
    <x v="1"/>
    <n v="34500"/>
    <n v="34500"/>
    <n v="10"/>
    <n v="34490"/>
    <n v="1189905000"/>
  </r>
  <r>
    <s v="N1003"/>
    <x v="2"/>
    <n v="4600"/>
    <n v="4600"/>
    <n v="50"/>
    <n v="4550"/>
    <n v="20930000"/>
  </r>
  <r>
    <s v="N1004"/>
    <x v="3"/>
    <n v="21000"/>
    <n v="21000"/>
    <n v="50"/>
    <n v="20950"/>
    <n v="439950000"/>
  </r>
  <r>
    <s v="N1005"/>
    <x v="4"/>
    <n v="200"/>
    <n v="200"/>
    <n v="50"/>
    <n v="150"/>
    <n v="30000"/>
  </r>
  <r>
    <s v="N1006"/>
    <x v="5"/>
    <n v="340"/>
    <n v="680"/>
    <n v="100"/>
    <n v="580"/>
    <n v="197200"/>
  </r>
  <r>
    <s v="N1007"/>
    <x v="6"/>
    <n v="52000"/>
    <n v="52000"/>
    <n v="50"/>
    <n v="51950"/>
    <n v="2701400000"/>
  </r>
  <r>
    <s v="N1008"/>
    <x v="7"/>
    <n v="799"/>
    <n v="799"/>
    <n v="20"/>
    <n v="779"/>
    <n v="622421"/>
  </r>
  <r>
    <s v="N1009"/>
    <x v="8"/>
    <n v="670"/>
    <n v="670"/>
    <n v="30"/>
    <n v="640"/>
    <n v="428800"/>
  </r>
  <r>
    <s v="N1010"/>
    <x v="9"/>
    <n v="23500"/>
    <n v="23500"/>
    <n v="25"/>
    <n v="23475"/>
    <n v="551662500"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m/>
    <x v="10"/>
    <m/>
    <m/>
    <m/>
    <m/>
    <m/>
  </r>
  <r>
    <n v="0"/>
    <x v="10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N1001"/>
    <x v="0"/>
    <n v="980"/>
    <n v="980"/>
    <n v="10"/>
    <n v="970"/>
    <n v="950600"/>
    <s v=""/>
  </r>
  <r>
    <s v="N1002"/>
    <x v="1"/>
    <n v="34500"/>
    <n v="34500"/>
    <n v="10"/>
    <n v="34490"/>
    <n v="1189905000"/>
    <s v=""/>
  </r>
  <r>
    <s v="N1003"/>
    <x v="2"/>
    <n v="4600"/>
    <n v="4600"/>
    <n v="50"/>
    <n v="4550"/>
    <n v="20930000"/>
    <s v=""/>
  </r>
  <r>
    <s v="N1004"/>
    <x v="3"/>
    <n v="21000"/>
    <n v="21000"/>
    <n v="50"/>
    <n v="20950"/>
    <n v="439950000"/>
    <s v=""/>
  </r>
  <r>
    <s v="N1005"/>
    <x v="4"/>
    <n v="200"/>
    <n v="200"/>
    <n v="50"/>
    <n v="150"/>
    <n v="30000"/>
    <s v="📞Wireless Printer Needs to Reorder! PH9813xxxxxx"/>
  </r>
  <r>
    <s v="N1006"/>
    <x v="5"/>
    <n v="340"/>
    <n v="680"/>
    <n v="100"/>
    <n v="580"/>
    <n v="197200"/>
    <s v=""/>
  </r>
  <r>
    <s v="N1007"/>
    <x v="6"/>
    <n v="52000"/>
    <n v="52000"/>
    <n v="50"/>
    <n v="51950"/>
    <n v="2701400000"/>
    <s v=""/>
  </r>
  <r>
    <s v="N1008"/>
    <x v="7"/>
    <n v="799"/>
    <n v="799"/>
    <n v="20"/>
    <n v="779"/>
    <n v="622421"/>
    <s v=""/>
  </r>
  <r>
    <s v="N1009"/>
    <x v="8"/>
    <n v="670"/>
    <n v="670"/>
    <n v="30"/>
    <n v="640"/>
    <n v="428800"/>
    <s v=""/>
  </r>
  <r>
    <s v="N1010"/>
    <x v="9"/>
    <n v="23500"/>
    <n v="23500"/>
    <n v="25"/>
    <n v="23475"/>
    <n v="551662500"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m/>
    <x v="10"/>
    <m/>
    <m/>
    <m/>
    <m/>
    <m/>
    <s v=""/>
  </r>
  <r>
    <n v="0"/>
    <x v="10"/>
    <m/>
    <m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54241-482C-4A0C-AFFC-818E9FFA0E6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B7E75-06F7-4D11-9287-381E03180956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I4:J10" firstHeaderRow="1" firstDataRow="1" firstDataCol="1"/>
  <pivotFields count="7">
    <pivotField showAll="0"/>
    <pivotField axis="axisRow" showAll="0" measureFilter="1" sortType="descending">
      <items count="12">
        <item x="6"/>
        <item x="3"/>
        <item x="7"/>
        <item x="1"/>
        <item x="4"/>
        <item x="5"/>
        <item x="0"/>
        <item x="8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5"/>
    </i>
    <i>
      <x/>
    </i>
    <i>
      <x v="9"/>
    </i>
    <i>
      <x v="1"/>
    </i>
    <i>
      <x v="4"/>
    </i>
    <i t="grand">
      <x/>
    </i>
  </rowItems>
  <colItems count="1">
    <i/>
  </colItems>
  <dataFields count="1">
    <dataField name="Sum of S Units" fld="4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5">
            <x v="0"/>
            <x v="1"/>
            <x v="4"/>
            <x v="5"/>
            <x v="9"/>
          </reference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5B059-7296-4C21-A22C-DE47EB124168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4:B36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9592D-2FDB-472B-96F3-3D6ECF517420}" name="PivotTable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A1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" fld="6" baseField="0" baseItem="0"/>
  </dataFields>
  <formats count="3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358C2-01E4-4506-9D8D-CEA767A38A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formats count="3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D8709-BF89-4ECD-BB33-D5CC30FBB63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formats count="3"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A88D9-9FBA-4FDB-9293-37FF99F13813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14:J20" firstHeaderRow="1" firstDataRow="1" firstDataCol="1"/>
  <pivotFields count="9">
    <pivotField showAll="0"/>
    <pivotField axis="axisRow" showAll="0" measureFilter="1" sortType="descending">
      <items count="9">
        <item x="7"/>
        <item x="3"/>
        <item x="5"/>
        <item x="1"/>
        <item x="6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7"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Amount" fld="8" baseField="1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5">
            <x v="1"/>
            <x v="3"/>
            <x v="4"/>
            <x v="5"/>
            <x v="7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EF7F6-6300-46B5-9CEE-1F59B70336B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formats count="3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52090-8472-4E82-84EC-4CA7E340CCF1}" name="customer1" displayName="customer1" ref="D6:G13" totalsRowShown="0" headerRowDxfId="77" dataDxfId="76">
  <autoFilter ref="D6:G13" xr:uid="{B8552090-8472-4E82-84EC-4CA7E340CCF1}"/>
  <tableColumns count="4">
    <tableColumn id="1" xr3:uid="{BC86185C-E405-4535-85F4-FF9DFDB883BE}" name="Cust_ID" dataDxfId="75"/>
    <tableColumn id="2" xr3:uid="{A8EE6A0A-A7DA-4831-85E4-4E4E480D8539}" name="Name" dataDxfId="74"/>
    <tableColumn id="3" xr3:uid="{1F53EAD1-FFD6-4D04-BF62-539DB7E162C2}" name="Email" dataDxfId="73" dataCellStyle="Hyperlink"/>
    <tableColumn id="4" xr3:uid="{9CFC4BC3-D5C3-42BB-B3F9-5762904D3063}" name="Address" dataDxfId="7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4F62D-DC51-47CE-859E-F33B57AD4EC8}" name="productT" displayName="productT" ref="D6:G16" totalsRowShown="0" headerRowDxfId="71" dataDxfId="70">
  <autoFilter ref="D6:G16" xr:uid="{1054F62D-DC51-47CE-859E-F33B57AD4EC8}"/>
  <tableColumns count="4">
    <tableColumn id="1" xr3:uid="{C92625C5-6D81-4962-B949-C768A74AED1B}" name="HSN Code" dataDxfId="69"/>
    <tableColumn id="2" xr3:uid="{D25FFC33-B3E4-45E6-9733-7727837DE0FF}" name="Product Name" dataDxfId="68"/>
    <tableColumn id="3" xr3:uid="{F4FADA33-3439-4679-B1CF-1513BC234339}" name="Cost" dataDxfId="67"/>
    <tableColumn id="4" xr3:uid="{784E08B1-AC45-40DE-9145-105F960B2F61}" name="Selling Price" dataDxfId="6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15DF2C-B5D9-40F7-84E9-0309C617116C}" name="Vtable" displayName="Vtable" ref="D6:H16" totalsRowShown="0" headerRowDxfId="65" dataDxfId="64">
  <autoFilter ref="D6:H16" xr:uid="{6B15DF2C-B5D9-40F7-84E9-0309C617116C}"/>
  <tableColumns count="5">
    <tableColumn id="1" xr3:uid="{576E5A7D-DB5D-4153-8405-FC5B69486D76}" name="HSN Code" dataDxfId="63"/>
    <tableColumn id="2" xr3:uid="{9270008E-3282-4613-8855-EECDA70FB228}" name="Product Name" dataDxfId="62"/>
    <tableColumn id="3" xr3:uid="{CFA0B2D8-C3F9-4A1F-9432-D4735BBEC0F5}" name="Vendor Name" dataDxfId="61"/>
    <tableColumn id="4" xr3:uid="{D2D9B85A-FC3E-4998-B744-EA303BEF662E}" name="Phone" dataDxfId="60"/>
    <tableColumn id="5" xr3:uid="{54118589-CD76-42D8-BA06-4E8F5D06416B}" name="Address" dataDxfId="5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66D586-99CC-458E-8688-1D1D22EA9A17}" name="Purchasetable" displayName="Purchasetable" ref="D8:J21" totalsRowShown="0" headerRowDxfId="58" dataDxfId="57">
  <autoFilter ref="D8:J21" xr:uid="{E066D586-99CC-458E-8688-1D1D22EA9A17}"/>
  <tableColumns count="7">
    <tableColumn id="1" xr3:uid="{00E3F5CB-EC17-497A-8502-7F8F711D7C78}" name="HSN Code" dataDxfId="56"/>
    <tableColumn id="2" xr3:uid="{C307B2EC-0CA4-4FE8-AB44-27D2A12ACDC2}" name="Product Name" dataDxfId="55">
      <calculatedColumnFormula>IFERROR(VLOOKUP(Purchasetable[[#This Row],[HSN Code]],productT[#All],2,0),"")</calculatedColumnFormula>
    </tableColumn>
    <tableColumn id="3" xr3:uid="{CF40CF56-90E2-4B8C-9971-927EC2B42AA1}" name="Vendor" dataDxfId="54">
      <calculatedColumnFormula>IFERROR(VLOOKUP(Purchasetable[[#This Row],[HSN Code]],Vtable[#All],3,0),"")</calculatedColumnFormula>
    </tableColumn>
    <tableColumn id="4" xr3:uid="{668B29D5-5424-49EA-85D0-41C6924B00E4}" name="Date" dataDxfId="53"/>
    <tableColumn id="5" xr3:uid="{39C1FA48-D53A-4A73-8445-9EE349448694}" name="Units" dataDxfId="52"/>
    <tableColumn id="6" xr3:uid="{3196085A-7499-4BD8-97B2-A52E89457956}" name="Cost" dataDxfId="51">
      <calculatedColumnFormula>IFERROR(VLOOKUP(Purchasetable[[#This Row],[HSN Code]],productT[#All],3,0),"")</calculatedColumnFormula>
    </tableColumn>
    <tableColumn id="7" xr3:uid="{E98D8AD3-FAAF-4D9F-8D91-2C123765C4A0}" name="Amount" dataDxfId="50">
      <calculatedColumnFormula>IFERROR(Purchasetable[[#This Row],[Units]]*Purchasetable[[#This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E7E85-78E9-417E-9D39-4F2AC81E773C}" name="Table2" displayName="Table2" ref="D9:L30" totalsRowShown="0" headerRowDxfId="49" dataDxfId="48">
  <autoFilter ref="D9:L30" xr:uid="{8B6E7E85-78E9-417E-9D39-4F2AC81E773C}"/>
  <tableColumns count="9">
    <tableColumn id="1" xr3:uid="{5FF84F9E-5EE1-43CA-BAE0-C1E992CC3D20}" name="Cust_ID" dataDxfId="47"/>
    <tableColumn id="2" xr3:uid="{2F82089C-A8F1-449C-981B-DD3E4DEFD12A}" name="Cust_Name" dataDxfId="46">
      <calculatedColumnFormula>IFERROR(VLOOKUP(Table2[[#This Row],[Cust_ID]],customer1[#All],2,FALSE),"")</calculatedColumnFormula>
    </tableColumn>
    <tableColumn id="3" xr3:uid="{25FD9920-DF80-4EAD-9DAF-1501107C71F9}" name="HSN Code" dataDxfId="45"/>
    <tableColumn id="4" xr3:uid="{0A842CF9-D1FE-440A-8957-03BC36E9873A}" name="Product Name" dataDxfId="44">
      <calculatedColumnFormula>IFERROR(VLOOKUP(Table2[[#This Row],[HSN Code]],productT[#All],2,0),"")</calculatedColumnFormula>
    </tableColumn>
    <tableColumn id="5" xr3:uid="{A8CCFB96-24FC-4D9F-A7B3-24F212FA5DC1}" name="Date" dataDxfId="43"/>
    <tableColumn id="6" xr3:uid="{07586922-8FFE-4882-A606-251F7347C5B6}" name="Stock(Units)" dataDxfId="42">
      <calculatedColumnFormula>VLOOKUP(Table2[[#This Row],[HSN Code]],Inventory!D7:J17,6,0)</calculatedColumnFormula>
    </tableColumn>
    <tableColumn id="7" xr3:uid="{0FD8C310-DB2E-4833-A5D6-C96472E1B083}" name="Units" dataDxfId="41"/>
    <tableColumn id="8" xr3:uid="{2DC426AE-E552-423C-B9FF-47F6BAD2AB8A}" name="Price" dataDxfId="40">
      <calculatedColumnFormula>IFERROR(VLOOKUP(Table2[[#This Row],[HSN Code]],productT[#All],4,0),"")</calculatedColumnFormula>
    </tableColumn>
    <tableColumn id="9" xr3:uid="{C794D47C-FEAD-4AEA-9FB3-9EF742A18A73}" name="Amount" dataDxfId="39">
      <calculatedColumnFormula>IFERROR(Table2[[#This Row],[Price]]*Table2[[#This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D81665-D12B-4A83-9057-52A0D00B3834}" name="Table5" displayName="Table5" ref="D7:J27" totalsRowShown="0" headerRowDxfId="38" dataDxfId="37">
  <autoFilter ref="D7:J27" xr:uid="{D9D81665-D12B-4A83-9057-52A0D00B3834}"/>
  <tableColumns count="7">
    <tableColumn id="1" xr3:uid="{FB9E580D-A1E9-4F9F-BBC9-ADCF78301A50}" name="HSN Code" dataDxfId="36">
      <calculatedColumnFormula>IFERROR(Product!D7,"")</calculatedColumnFormula>
    </tableColumn>
    <tableColumn id="2" xr3:uid="{9F6F0536-80E4-4055-AD55-600D199B80C7}" name="Product Name" dataDxfId="35"/>
    <tableColumn id="3" xr3:uid="{5588D533-08DE-4B21-A1FA-0EEE75FDA7C1}" name="Cost" dataDxfId="34"/>
    <tableColumn id="4" xr3:uid="{5D2E14D5-EB25-4E61-8D56-2C1069F16DEC}" name="P Units" dataDxfId="33">
      <calculatedColumnFormula>IFERROR(SUMIF(Purchase!E8:E18,Inventory!E7:E17,Purchase!I8:I18),"")</calculatedColumnFormula>
    </tableColumn>
    <tableColumn id="5" xr3:uid="{5FB16C44-6D31-41BE-B70D-401B035EA305}" name="S Units" dataDxfId="32">
      <calculatedColumnFormula>IFERROR(SUMIF(Sales!G10:G20,Inventory!E8:E17,Sales!J10:J20),"")</calculatedColumnFormula>
    </tableColumn>
    <tableColumn id="6" xr3:uid="{9745F817-64AF-4ABB-87B3-CF5C7593EE29}" name="Stock" dataDxfId="31">
      <calculatedColumnFormula>Table5[[#This Row],[P Units]]-Table5[[#This Row],[S Units]]</calculatedColumnFormula>
    </tableColumn>
    <tableColumn id="7" xr3:uid="{CBD4C6F6-6384-430C-8BFE-84B4D7F3B737}" name="Stock Amt" dataDxfId="30">
      <calculatedColumnFormula>Table5[[#This Row],[Cost]]*Table5[[#This Row],[Stock]]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337D7B-8866-4A7D-9406-ABD3EC0802C6}" name="Table7" displayName="Table7" ref="K7:K27" totalsRowShown="0" headerRowDxfId="29" dataDxfId="28">
  <autoFilter ref="K7:K27" xr:uid="{3B337D7B-8866-4A7D-9406-ABD3EC0802C6}"/>
  <tableColumns count="1">
    <tableColumn id="1" xr3:uid="{30FA3898-F241-46C8-BFB4-66A37FB279B0}" name="Notifications" dataDxfId="27">
      <calculatedColumnFormula>IFERROR(IF(Table5[[#This Row],[Stock]]&lt;500,"📞" &amp;E6&amp;" Needs to Reorder! PH" &amp;VLOOKUP(Table5[[#This Row],[HSN Code]],Vtable[#All],4,0),""),"")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effectLst>
          <a:softEdge rad="635000"/>
        </a:effectLst>
      </a:spPr>
      <a:bodyPr vertOverflow="clip" horzOverflow="clip" rtlCol="0" anchor="t"/>
      <a:lstStyle>
        <a:defPPr algn="ctr">
          <a:defRPr sz="1600" b="1">
            <a:ln>
              <a:solidFill>
                <a:schemeClr val="bg1"/>
              </a:solidFill>
            </a:ln>
            <a:solidFill>
              <a:schemeClr val="tx1"/>
            </a:solidFill>
            <a:latin typeface="Arial Black" panose="020B0A04020102020204" pitchFamily="34" charset="0"/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MK@gmail.cc" TargetMode="External"/><Relationship Id="rId7" Type="http://schemas.openxmlformats.org/officeDocument/2006/relationships/hyperlink" Target="mailto:Jai@gmail.co" TargetMode="External"/><Relationship Id="rId2" Type="http://schemas.openxmlformats.org/officeDocument/2006/relationships/hyperlink" Target="mailto:Atu@gmail.cc" TargetMode="External"/><Relationship Id="rId1" Type="http://schemas.openxmlformats.org/officeDocument/2006/relationships/hyperlink" Target="mailto:Ram@gmail.c" TargetMode="External"/><Relationship Id="rId6" Type="http://schemas.openxmlformats.org/officeDocument/2006/relationships/hyperlink" Target="mailto:Ami@gmail.c" TargetMode="External"/><Relationship Id="rId5" Type="http://schemas.openxmlformats.org/officeDocument/2006/relationships/hyperlink" Target="mailto:Raj@gmail.cc" TargetMode="External"/><Relationship Id="rId4" Type="http://schemas.openxmlformats.org/officeDocument/2006/relationships/hyperlink" Target="mailto:99s@gmail.c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B3B3-F6C8-4875-B043-63B84C8EA1BE}">
  <dimension ref="A1:Z132"/>
  <sheetViews>
    <sheetView tabSelected="1" zoomScale="75" zoomScaleNormal="75" workbookViewId="0">
      <selection activeCell="W35" sqref="W35"/>
    </sheetView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17" width="8.88671875" style="1"/>
    <col min="18" max="18" width="15.77734375" style="1" customWidth="1"/>
    <col min="19" max="19" width="6.44140625" style="1" customWidth="1"/>
    <col min="20" max="16384" width="8.88671875" style="1"/>
  </cols>
  <sheetData>
    <row r="1" spans="1:26" x14ac:dyDescent="0.3">
      <c r="A1" s="1">
        <v>5</v>
      </c>
      <c r="B1" s="1"/>
    </row>
    <row r="12" spans="1:26" ht="15.6" x14ac:dyDescent="0.3">
      <c r="D12" s="4"/>
    </row>
    <row r="13" spans="1:26" ht="23.4" x14ac:dyDescent="0.45">
      <c r="S13" s="24" t="s">
        <v>94</v>
      </c>
      <c r="T13" s="23"/>
      <c r="U13" s="23"/>
      <c r="V13" s="23"/>
      <c r="W13" s="23"/>
      <c r="X13" s="23"/>
      <c r="Y13" s="23"/>
      <c r="Z13" s="23"/>
    </row>
    <row r="14" spans="1:26" x14ac:dyDescent="0.3">
      <c r="S14" s="27" t="str" cm="1">
        <f t="array" ref="S14:S34">_xlfn._xlws.FILTER(Table7[[#All],[Notifications]],Table7[[#All],[Notifications]] &lt;&gt; " ")</f>
        <v>Notifications</v>
      </c>
      <c r="T14" s="27"/>
      <c r="U14" s="2"/>
      <c r="V14" s="2"/>
      <c r="W14" s="2"/>
      <c r="X14" s="2"/>
      <c r="Y14" s="2"/>
      <c r="Z14" s="2"/>
    </row>
    <row r="15" spans="1:26" x14ac:dyDescent="0.3">
      <c r="S15" s="2" t="str">
        <v/>
      </c>
      <c r="T15" s="2"/>
      <c r="U15" s="2"/>
      <c r="V15" s="2"/>
      <c r="W15" s="2"/>
      <c r="X15" s="2"/>
      <c r="Y15" s="2"/>
      <c r="Z15" s="2"/>
    </row>
    <row r="16" spans="1:26" x14ac:dyDescent="0.3">
      <c r="S16" s="2" t="str">
        <v/>
      </c>
      <c r="T16" s="2"/>
      <c r="U16" s="2"/>
      <c r="V16" s="2"/>
      <c r="W16" s="2"/>
      <c r="X16" s="2"/>
      <c r="Y16" s="2"/>
      <c r="Z16" s="2"/>
    </row>
    <row r="17" spans="2:26" x14ac:dyDescent="0.3">
      <c r="B17" s="3"/>
      <c r="S17" s="2" t="str">
        <v/>
      </c>
      <c r="T17" s="2"/>
      <c r="U17" s="2"/>
      <c r="V17" s="2"/>
      <c r="W17" s="2"/>
      <c r="X17" s="2"/>
      <c r="Y17" s="2"/>
      <c r="Z17" s="2"/>
    </row>
    <row r="18" spans="2:26" x14ac:dyDescent="0.3">
      <c r="S18" s="2" t="str">
        <v/>
      </c>
      <c r="T18" s="2"/>
      <c r="U18" s="2"/>
      <c r="V18" s="2"/>
      <c r="W18" s="2"/>
      <c r="X18" s="2"/>
      <c r="Y18" s="2"/>
      <c r="Z18" s="2"/>
    </row>
    <row r="19" spans="2:26" ht="21" x14ac:dyDescent="0.4">
      <c r="S19" s="26" t="str">
        <v>📞Wireless Printer Needs to Reorder! PH9813xxxxxx</v>
      </c>
      <c r="T19" s="26"/>
      <c r="U19" s="26"/>
      <c r="V19" s="26"/>
      <c r="W19" s="26"/>
      <c r="X19" s="2"/>
      <c r="Y19" s="2"/>
      <c r="Z19" s="2"/>
    </row>
    <row r="20" spans="2:26" x14ac:dyDescent="0.3">
      <c r="S20" s="2" t="str">
        <v/>
      </c>
      <c r="T20" s="2"/>
      <c r="U20" s="2"/>
      <c r="V20" s="2"/>
      <c r="W20" s="2"/>
      <c r="X20" s="2"/>
      <c r="Y20" s="2"/>
      <c r="Z20" s="2"/>
    </row>
    <row r="21" spans="2:26" x14ac:dyDescent="0.3">
      <c r="S21" s="2" t="str">
        <v/>
      </c>
      <c r="T21" s="2"/>
      <c r="U21" s="2"/>
      <c r="V21" s="2"/>
      <c r="W21" s="2"/>
      <c r="X21" s="2"/>
      <c r="Y21" s="2"/>
      <c r="Z21" s="2"/>
    </row>
    <row r="22" spans="2:26" x14ac:dyDescent="0.3">
      <c r="S22" s="2" t="str">
        <v/>
      </c>
      <c r="T22" s="2"/>
      <c r="U22" s="2"/>
      <c r="V22" s="2"/>
      <c r="W22" s="2"/>
      <c r="X22" s="2"/>
      <c r="Y22" s="2"/>
      <c r="Z22" s="2"/>
    </row>
    <row r="23" spans="2:26" x14ac:dyDescent="0.3">
      <c r="S23" s="2" t="str">
        <v/>
      </c>
      <c r="T23" s="2"/>
      <c r="U23" s="2"/>
      <c r="V23" s="2"/>
      <c r="W23" s="2"/>
      <c r="X23" s="2"/>
      <c r="Y23" s="2"/>
      <c r="Z23" s="2"/>
    </row>
    <row r="24" spans="2:26" x14ac:dyDescent="0.3">
      <c r="S24" s="2" t="str">
        <v/>
      </c>
      <c r="T24" s="2"/>
      <c r="U24" s="2"/>
      <c r="V24" s="2"/>
      <c r="W24" s="2"/>
      <c r="X24" s="2"/>
      <c r="Y24" s="2"/>
      <c r="Z24" s="2"/>
    </row>
    <row r="25" spans="2:26" x14ac:dyDescent="0.3">
      <c r="S25" s="2" t="str">
        <v/>
      </c>
      <c r="T25" s="2"/>
      <c r="U25" s="2"/>
      <c r="V25" s="2"/>
      <c r="W25" s="2"/>
      <c r="X25" s="2"/>
      <c r="Y25" s="2"/>
      <c r="Z25" s="2"/>
    </row>
    <row r="26" spans="2:26" x14ac:dyDescent="0.3">
      <c r="S26" s="2" t="str">
        <v/>
      </c>
      <c r="T26" s="2"/>
      <c r="U26" s="2"/>
      <c r="V26" s="2"/>
      <c r="W26" s="2"/>
      <c r="X26" s="2"/>
      <c r="Y26" s="2"/>
      <c r="Z26" s="2"/>
    </row>
    <row r="27" spans="2:26" x14ac:dyDescent="0.3">
      <c r="S27" s="2" t="str">
        <v/>
      </c>
      <c r="T27" s="2"/>
      <c r="U27" s="2"/>
      <c r="V27" s="2"/>
      <c r="W27" s="2"/>
      <c r="X27" s="2"/>
      <c r="Y27" s="2"/>
      <c r="Z27" s="2"/>
    </row>
    <row r="28" spans="2:26" x14ac:dyDescent="0.3">
      <c r="S28" s="2" t="str">
        <v/>
      </c>
      <c r="T28" s="2"/>
      <c r="U28" s="2"/>
      <c r="V28" s="2"/>
      <c r="W28" s="2"/>
      <c r="X28" s="2"/>
      <c r="Y28" s="2"/>
      <c r="Z28" s="2"/>
    </row>
    <row r="29" spans="2:26" x14ac:dyDescent="0.3">
      <c r="S29" s="2" t="str">
        <v/>
      </c>
      <c r="T29" s="2"/>
      <c r="U29" s="2"/>
      <c r="V29" s="2"/>
      <c r="W29" s="2"/>
      <c r="X29" s="2"/>
      <c r="Y29" s="2"/>
      <c r="Z29" s="2"/>
    </row>
    <row r="30" spans="2:26" x14ac:dyDescent="0.3">
      <c r="S30" s="2" t="str">
        <v/>
      </c>
      <c r="T30" s="2"/>
      <c r="U30" s="2"/>
      <c r="V30" s="2"/>
      <c r="W30" s="2"/>
      <c r="X30" s="2"/>
      <c r="Y30" s="2"/>
      <c r="Z30" s="2"/>
    </row>
    <row r="31" spans="2:26" x14ac:dyDescent="0.3">
      <c r="B31" s="25"/>
      <c r="S31" s="2" t="str">
        <v/>
      </c>
      <c r="T31" s="2"/>
      <c r="U31" s="2"/>
      <c r="V31" s="2"/>
      <c r="W31" s="2"/>
      <c r="X31" s="2"/>
      <c r="Y31" s="2"/>
      <c r="Z31" s="2"/>
    </row>
    <row r="32" spans="2:26" x14ac:dyDescent="0.3">
      <c r="S32" s="2" t="str">
        <v/>
      </c>
      <c r="T32" s="2"/>
      <c r="U32" s="2"/>
      <c r="V32" s="2"/>
      <c r="W32" s="2"/>
      <c r="X32" s="2"/>
      <c r="Y32" s="2"/>
      <c r="Z32" s="2"/>
    </row>
    <row r="33" spans="2:26" x14ac:dyDescent="0.3">
      <c r="S33" s="2" t="str">
        <v/>
      </c>
      <c r="T33" s="2"/>
      <c r="U33" s="2"/>
      <c r="V33" s="2"/>
      <c r="W33" s="2"/>
      <c r="X33" s="2"/>
      <c r="Y33" s="2"/>
      <c r="Z33" s="2"/>
    </row>
    <row r="34" spans="2:26" x14ac:dyDescent="0.3">
      <c r="S34" s="2" t="str">
        <v/>
      </c>
      <c r="T34" s="2"/>
      <c r="U34" s="2"/>
      <c r="V34" s="2"/>
      <c r="W34" s="2"/>
      <c r="X34" s="2"/>
      <c r="Y34" s="2"/>
      <c r="Z34" s="2"/>
    </row>
    <row r="35" spans="2:26" x14ac:dyDescent="0.3">
      <c r="B35" s="27"/>
      <c r="S35" s="2"/>
      <c r="T35" s="2"/>
      <c r="U35" s="2"/>
      <c r="V35" s="2"/>
      <c r="W35" s="2"/>
      <c r="X35" s="2"/>
      <c r="Y35" s="2"/>
      <c r="Z35" s="2"/>
    </row>
    <row r="36" spans="2:26" x14ac:dyDescent="0.3">
      <c r="S36" s="2"/>
      <c r="T36" s="2"/>
      <c r="U36" s="2"/>
      <c r="V36" s="2"/>
      <c r="W36" s="2"/>
      <c r="X36" s="2"/>
      <c r="Y36" s="2"/>
      <c r="Z36" s="2"/>
    </row>
    <row r="37" spans="2:26" x14ac:dyDescent="0.3">
      <c r="S37" s="2"/>
      <c r="T37" s="2"/>
      <c r="U37" s="2"/>
      <c r="V37" s="2"/>
      <c r="W37" s="2"/>
      <c r="X37" s="2"/>
      <c r="Y37" s="2"/>
      <c r="Z37" s="2"/>
    </row>
    <row r="38" spans="2:26" x14ac:dyDescent="0.3">
      <c r="S38" s="2"/>
      <c r="T38" s="2"/>
      <c r="U38" s="2"/>
      <c r="V38" s="2"/>
      <c r="W38" s="2"/>
      <c r="X38" s="2"/>
      <c r="Y38" s="2"/>
      <c r="Z38" s="2"/>
    </row>
    <row r="39" spans="2:26" x14ac:dyDescent="0.3">
      <c r="S39" s="2"/>
      <c r="T39" s="2"/>
      <c r="U39" s="2"/>
      <c r="V39" s="2"/>
      <c r="W39" s="2"/>
      <c r="X39" s="2"/>
      <c r="Y39" s="2"/>
      <c r="Z39" s="2"/>
    </row>
    <row r="40" spans="2:26" x14ac:dyDescent="0.3">
      <c r="S40" s="2"/>
      <c r="T40" s="2"/>
      <c r="U40" s="2"/>
      <c r="V40" s="2"/>
      <c r="W40" s="2"/>
      <c r="X40" s="2"/>
      <c r="Y40" s="2"/>
      <c r="Z40" s="2"/>
    </row>
    <row r="41" spans="2:26" x14ac:dyDescent="0.3">
      <c r="S41" s="2"/>
      <c r="T41" s="2"/>
      <c r="U41" s="2"/>
      <c r="V41" s="2"/>
      <c r="W41" s="2"/>
      <c r="X41" s="2"/>
      <c r="Y41" s="2"/>
      <c r="Z41" s="2"/>
    </row>
    <row r="42" spans="2:26" x14ac:dyDescent="0.3">
      <c r="B42" s="1"/>
    </row>
    <row r="43" spans="2:26" x14ac:dyDescent="0.3">
      <c r="B43" s="1"/>
    </row>
    <row r="44" spans="2:26" x14ac:dyDescent="0.3">
      <c r="B44" s="1"/>
    </row>
    <row r="45" spans="2:26" x14ac:dyDescent="0.3">
      <c r="B45" s="1"/>
    </row>
    <row r="46" spans="2:26" x14ac:dyDescent="0.3">
      <c r="B46" s="1"/>
    </row>
    <row r="47" spans="2:26" x14ac:dyDescent="0.3">
      <c r="B47" s="1"/>
    </row>
    <row r="48" spans="2:26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7329-D5F4-476A-809F-167841CE5DF4}">
  <dimension ref="A1:G21"/>
  <sheetViews>
    <sheetView zoomScale="80" zoomScaleNormal="80" workbookViewId="0"/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22" style="1" customWidth="1"/>
    <col min="5" max="5" width="22.33203125" style="1" customWidth="1"/>
    <col min="6" max="6" width="24.109375" style="1" customWidth="1"/>
    <col min="7" max="7" width="32.44140625" style="1" customWidth="1"/>
    <col min="8" max="16384" width="8.88671875" style="1"/>
  </cols>
  <sheetData>
    <row r="1" spans="1:7" x14ac:dyDescent="0.3">
      <c r="A1" s="1" t="s">
        <v>0</v>
      </c>
      <c r="B1" s="1"/>
    </row>
    <row r="6" spans="1:7" ht="23.4" x14ac:dyDescent="0.3">
      <c r="D6" s="13" t="s">
        <v>1</v>
      </c>
      <c r="E6" s="13" t="s">
        <v>2</v>
      </c>
      <c r="F6" s="13" t="s">
        <v>3</v>
      </c>
      <c r="G6" s="13" t="s">
        <v>4</v>
      </c>
    </row>
    <row r="7" spans="1:7" ht="23.4" x14ac:dyDescent="0.3">
      <c r="D7" s="17">
        <v>100</v>
      </c>
      <c r="E7" s="17" t="s">
        <v>5</v>
      </c>
      <c r="F7" s="18" t="s">
        <v>6</v>
      </c>
      <c r="G7" s="17" t="s">
        <v>7</v>
      </c>
    </row>
    <row r="8" spans="1:7" ht="23.4" x14ac:dyDescent="0.3">
      <c r="D8" s="17">
        <v>101</v>
      </c>
      <c r="E8" s="17" t="s">
        <v>8</v>
      </c>
      <c r="F8" s="18" t="s">
        <v>9</v>
      </c>
      <c r="G8" s="17" t="s">
        <v>10</v>
      </c>
    </row>
    <row r="9" spans="1:7" ht="23.4" x14ac:dyDescent="0.3">
      <c r="D9" s="17">
        <v>102</v>
      </c>
      <c r="E9" s="17" t="s">
        <v>11</v>
      </c>
      <c r="F9" s="18" t="s">
        <v>12</v>
      </c>
      <c r="G9" s="17" t="s">
        <v>13</v>
      </c>
    </row>
    <row r="10" spans="1:7" ht="23.4" x14ac:dyDescent="0.3">
      <c r="D10" s="17">
        <v>103</v>
      </c>
      <c r="E10" s="17" t="s">
        <v>14</v>
      </c>
      <c r="F10" s="18" t="s">
        <v>15</v>
      </c>
      <c r="G10" s="17" t="s">
        <v>16</v>
      </c>
    </row>
    <row r="11" spans="1:7" ht="23.4" x14ac:dyDescent="0.3">
      <c r="D11" s="17">
        <v>104</v>
      </c>
      <c r="E11" s="17" t="s">
        <v>17</v>
      </c>
      <c r="F11" s="18" t="s">
        <v>18</v>
      </c>
      <c r="G11" s="17" t="s">
        <v>19</v>
      </c>
    </row>
    <row r="12" spans="1:7" ht="23.4" x14ac:dyDescent="0.3">
      <c r="D12" s="17">
        <v>105</v>
      </c>
      <c r="E12" s="17" t="s">
        <v>20</v>
      </c>
      <c r="F12" s="18" t="s">
        <v>21</v>
      </c>
      <c r="G12" s="17" t="s">
        <v>22</v>
      </c>
    </row>
    <row r="13" spans="1:7" ht="23.4" x14ac:dyDescent="0.3">
      <c r="D13" s="17">
        <v>106</v>
      </c>
      <c r="E13" s="17" t="s">
        <v>23</v>
      </c>
      <c r="F13" s="18" t="s">
        <v>24</v>
      </c>
      <c r="G13" s="17" t="s">
        <v>25</v>
      </c>
    </row>
    <row r="21" spans="2:2" x14ac:dyDescent="0.3">
      <c r="B21" s="3"/>
    </row>
  </sheetData>
  <hyperlinks>
    <hyperlink ref="F7" r:id="rId1" display="mailto:Ram@gmail.c" xr:uid="{6585E38B-BBB3-4254-A944-421813EE3E7F}"/>
    <hyperlink ref="F8" r:id="rId2" display="mailto:Atu@gmail.cc" xr:uid="{B08B0DFD-61B2-4DCB-9196-80AB8097203F}"/>
    <hyperlink ref="F9" r:id="rId3" display="mailto:MK@gmail.cc" xr:uid="{9FE27CBC-2010-4C5B-BF77-C3419FD1703B}"/>
    <hyperlink ref="F10" r:id="rId4" display="mailto:99s@gmail.c" xr:uid="{348B9BC5-65EA-450E-82F2-891285616483}"/>
    <hyperlink ref="F11" r:id="rId5" display="mailto:Raj@gmail.cc" xr:uid="{569CA2CE-D131-4750-9A97-E13EF2B3F12C}"/>
    <hyperlink ref="F12" r:id="rId6" display="mailto:Ami@gmail.c" xr:uid="{84350581-8005-4E29-9143-4E0AE4B70770}"/>
    <hyperlink ref="F13" r:id="rId7" display="mailto:Jai@gmail.co" xr:uid="{37ED9553-665F-40C8-89FE-569D1FA1B9FE}"/>
  </hyperlinks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E42B-83F8-4E3F-82C9-22BD9EA9C016}">
  <dimension ref="A1:G21"/>
  <sheetViews>
    <sheetView zoomScale="80" zoomScaleNormal="80" workbookViewId="0"/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17.44140625" style="1" customWidth="1"/>
    <col min="5" max="5" width="36.33203125" style="1" customWidth="1"/>
    <col min="6" max="6" width="19.88671875" style="1" customWidth="1"/>
    <col min="7" max="7" width="23.77734375" style="1" customWidth="1"/>
    <col min="8" max="8" width="13.77734375" style="1" customWidth="1"/>
    <col min="9" max="16384" width="8.88671875" style="1"/>
  </cols>
  <sheetData>
    <row r="1" spans="1:7" x14ac:dyDescent="0.3">
      <c r="A1" s="1" t="s">
        <v>0</v>
      </c>
      <c r="B1" s="1"/>
    </row>
    <row r="5" spans="1:7" x14ac:dyDescent="0.3">
      <c r="D5" s="7"/>
      <c r="E5" s="7"/>
      <c r="F5" s="7"/>
      <c r="G5" s="7"/>
    </row>
    <row r="6" spans="1:7" ht="23.4" x14ac:dyDescent="0.3">
      <c r="D6" s="13" t="s">
        <v>26</v>
      </c>
      <c r="E6" s="13" t="s">
        <v>27</v>
      </c>
      <c r="F6" s="13" t="s">
        <v>28</v>
      </c>
      <c r="G6" s="13" t="s">
        <v>29</v>
      </c>
    </row>
    <row r="7" spans="1:7" ht="23.4" x14ac:dyDescent="0.3">
      <c r="D7" s="15" t="s">
        <v>30</v>
      </c>
      <c r="E7" s="15" t="s">
        <v>31</v>
      </c>
      <c r="F7" s="16">
        <v>980</v>
      </c>
      <c r="G7" s="16">
        <v>1176</v>
      </c>
    </row>
    <row r="8" spans="1:7" ht="23.4" x14ac:dyDescent="0.3">
      <c r="D8" s="15" t="s">
        <v>32</v>
      </c>
      <c r="E8" s="15" t="s">
        <v>33</v>
      </c>
      <c r="F8" s="16">
        <v>34500</v>
      </c>
      <c r="G8" s="16">
        <v>41400</v>
      </c>
    </row>
    <row r="9" spans="1:7" ht="23.4" x14ac:dyDescent="0.3">
      <c r="D9" s="15" t="s">
        <v>34</v>
      </c>
      <c r="E9" s="15" t="s">
        <v>35</v>
      </c>
      <c r="F9" s="16">
        <v>4600</v>
      </c>
      <c r="G9" s="16">
        <v>5520</v>
      </c>
    </row>
    <row r="10" spans="1:7" ht="23.4" x14ac:dyDescent="0.3">
      <c r="D10" s="15" t="s">
        <v>36</v>
      </c>
      <c r="E10" s="15" t="s">
        <v>37</v>
      </c>
      <c r="F10" s="16">
        <v>21000</v>
      </c>
      <c r="G10" s="16">
        <v>25200</v>
      </c>
    </row>
    <row r="11" spans="1:7" ht="23.4" x14ac:dyDescent="0.3">
      <c r="D11" s="15" t="s">
        <v>38</v>
      </c>
      <c r="E11" s="15" t="s">
        <v>39</v>
      </c>
      <c r="F11" s="16">
        <v>200</v>
      </c>
      <c r="G11" s="16">
        <v>240</v>
      </c>
    </row>
    <row r="12" spans="1:7" ht="23.4" x14ac:dyDescent="0.3">
      <c r="D12" s="15" t="s">
        <v>40</v>
      </c>
      <c r="E12" s="15" t="s">
        <v>41</v>
      </c>
      <c r="F12" s="16">
        <v>340</v>
      </c>
      <c r="G12" s="16">
        <v>408</v>
      </c>
    </row>
    <row r="13" spans="1:7" ht="23.4" x14ac:dyDescent="0.3">
      <c r="D13" s="15" t="s">
        <v>42</v>
      </c>
      <c r="E13" s="15" t="s">
        <v>43</v>
      </c>
      <c r="F13" s="16">
        <v>52000</v>
      </c>
      <c r="G13" s="16">
        <v>62400</v>
      </c>
    </row>
    <row r="14" spans="1:7" ht="23.4" x14ac:dyDescent="0.3">
      <c r="D14" s="15" t="s">
        <v>44</v>
      </c>
      <c r="E14" s="15" t="s">
        <v>45</v>
      </c>
      <c r="F14" s="16">
        <v>799</v>
      </c>
      <c r="G14" s="16">
        <v>958.8</v>
      </c>
    </row>
    <row r="15" spans="1:7" ht="23.4" x14ac:dyDescent="0.3">
      <c r="D15" s="15" t="s">
        <v>46</v>
      </c>
      <c r="E15" s="15" t="s">
        <v>47</v>
      </c>
      <c r="F15" s="16">
        <v>670</v>
      </c>
      <c r="G15" s="16">
        <v>804</v>
      </c>
    </row>
    <row r="16" spans="1:7" ht="23.4" x14ac:dyDescent="0.3">
      <c r="D16" s="15" t="s">
        <v>48</v>
      </c>
      <c r="E16" s="15" t="s">
        <v>49</v>
      </c>
      <c r="F16" s="16">
        <v>23500</v>
      </c>
      <c r="G16" s="16">
        <v>28200</v>
      </c>
    </row>
    <row r="21" spans="2:2" x14ac:dyDescent="0.3">
      <c r="B21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EF14-CF40-4F5F-8AF8-2841CC03F9AB}">
  <dimension ref="A1:H21"/>
  <sheetViews>
    <sheetView zoomScale="80" zoomScaleNormal="80" workbookViewId="0"/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17.5546875" style="1" customWidth="1"/>
    <col min="5" max="5" width="20.6640625" style="1" customWidth="1"/>
    <col min="6" max="6" width="19.5546875" style="1" customWidth="1"/>
    <col min="7" max="7" width="22.44140625" style="1" customWidth="1"/>
    <col min="8" max="8" width="30.44140625" style="1" customWidth="1"/>
    <col min="9" max="16384" width="8.88671875" style="1"/>
  </cols>
  <sheetData>
    <row r="1" spans="1:8" x14ac:dyDescent="0.3">
      <c r="A1" s="1" t="s">
        <v>0</v>
      </c>
      <c r="B1" s="1"/>
    </row>
    <row r="6" spans="1:8" ht="46.8" x14ac:dyDescent="0.3">
      <c r="D6" s="13" t="s">
        <v>26</v>
      </c>
      <c r="E6" s="13" t="s">
        <v>27</v>
      </c>
      <c r="F6" s="13" t="s">
        <v>50</v>
      </c>
      <c r="G6" s="13" t="s">
        <v>51</v>
      </c>
      <c r="H6" s="13" t="s">
        <v>4</v>
      </c>
    </row>
    <row r="7" spans="1:8" ht="23.4" x14ac:dyDescent="0.3">
      <c r="D7" s="15" t="s">
        <v>30</v>
      </c>
      <c r="E7" s="15" t="s">
        <v>31</v>
      </c>
      <c r="F7" s="15" t="s">
        <v>52</v>
      </c>
      <c r="G7" s="15" t="s">
        <v>53</v>
      </c>
      <c r="H7" s="15" t="s">
        <v>13</v>
      </c>
    </row>
    <row r="8" spans="1:8" ht="23.4" x14ac:dyDescent="0.3">
      <c r="D8" s="15" t="s">
        <v>32</v>
      </c>
      <c r="E8" s="15" t="s">
        <v>54</v>
      </c>
      <c r="F8" s="15" t="s">
        <v>52</v>
      </c>
      <c r="G8" s="15" t="s">
        <v>53</v>
      </c>
      <c r="H8" s="15" t="s">
        <v>55</v>
      </c>
    </row>
    <row r="9" spans="1:8" ht="23.4" x14ac:dyDescent="0.3">
      <c r="D9" s="15" t="s">
        <v>34</v>
      </c>
      <c r="E9" s="15" t="s">
        <v>56</v>
      </c>
      <c r="F9" s="15" t="s">
        <v>52</v>
      </c>
      <c r="G9" s="15" t="s">
        <v>53</v>
      </c>
      <c r="H9" s="15" t="s">
        <v>57</v>
      </c>
    </row>
    <row r="10" spans="1:8" ht="23.4" x14ac:dyDescent="0.3">
      <c r="D10" s="15" t="s">
        <v>36</v>
      </c>
      <c r="E10" s="15" t="s">
        <v>37</v>
      </c>
      <c r="F10" s="15" t="s">
        <v>58</v>
      </c>
      <c r="G10" s="15" t="s">
        <v>59</v>
      </c>
      <c r="H10" s="15" t="s">
        <v>22</v>
      </c>
    </row>
    <row r="11" spans="1:8" ht="23.4" x14ac:dyDescent="0.3">
      <c r="D11" s="15" t="s">
        <v>38</v>
      </c>
      <c r="E11" s="15" t="s">
        <v>39</v>
      </c>
      <c r="F11" s="15" t="s">
        <v>58</v>
      </c>
      <c r="G11" s="15" t="s">
        <v>59</v>
      </c>
      <c r="H11" s="15" t="s">
        <v>60</v>
      </c>
    </row>
    <row r="12" spans="1:8" ht="23.4" x14ac:dyDescent="0.3">
      <c r="D12" s="15" t="s">
        <v>40</v>
      </c>
      <c r="E12" s="15" t="s">
        <v>41</v>
      </c>
      <c r="F12" s="15" t="s">
        <v>58</v>
      </c>
      <c r="G12" s="15" t="s">
        <v>59</v>
      </c>
      <c r="H12" s="15" t="s">
        <v>61</v>
      </c>
    </row>
    <row r="13" spans="1:8" ht="23.4" x14ac:dyDescent="0.3">
      <c r="D13" s="15" t="s">
        <v>42</v>
      </c>
      <c r="E13" s="15" t="s">
        <v>43</v>
      </c>
      <c r="F13" s="15" t="s">
        <v>58</v>
      </c>
      <c r="G13" s="15" t="s">
        <v>59</v>
      </c>
      <c r="H13" s="15" t="s">
        <v>62</v>
      </c>
    </row>
    <row r="14" spans="1:8" ht="23.4" x14ac:dyDescent="0.3">
      <c r="D14" s="15" t="s">
        <v>44</v>
      </c>
      <c r="E14" s="15" t="s">
        <v>45</v>
      </c>
      <c r="F14" s="15" t="s">
        <v>63</v>
      </c>
      <c r="G14" s="15" t="s">
        <v>64</v>
      </c>
      <c r="H14" s="15" t="s">
        <v>65</v>
      </c>
    </row>
    <row r="15" spans="1:8" ht="23.4" x14ac:dyDescent="0.3">
      <c r="D15" s="15" t="s">
        <v>46</v>
      </c>
      <c r="E15" s="15" t="s">
        <v>47</v>
      </c>
      <c r="F15" s="15" t="s">
        <v>63</v>
      </c>
      <c r="G15" s="15" t="s">
        <v>64</v>
      </c>
      <c r="H15" s="15" t="s">
        <v>66</v>
      </c>
    </row>
    <row r="16" spans="1:8" ht="23.4" x14ac:dyDescent="0.3">
      <c r="D16" s="15" t="s">
        <v>48</v>
      </c>
      <c r="E16" s="15" t="s">
        <v>49</v>
      </c>
      <c r="F16" s="15" t="s">
        <v>63</v>
      </c>
      <c r="G16" s="15" t="s">
        <v>64</v>
      </c>
      <c r="H16" s="15" t="s">
        <v>67</v>
      </c>
    </row>
    <row r="21" spans="2:2" x14ac:dyDescent="0.3">
      <c r="B21" s="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26BE-6A23-4156-AA2E-86D37A44AFE1}">
  <dimension ref="A1:G21"/>
  <sheetViews>
    <sheetView zoomScale="80" zoomScaleNormal="80" workbookViewId="0"/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6" width="8.88671875" style="1"/>
    <col min="7" max="7" width="22.33203125" style="1" customWidth="1"/>
    <col min="8" max="16384" width="8.88671875" style="1"/>
  </cols>
  <sheetData>
    <row r="1" spans="1:7" x14ac:dyDescent="0.3">
      <c r="A1" s="1" t="s">
        <v>0</v>
      </c>
      <c r="B1" s="1"/>
    </row>
    <row r="12" spans="1:7" ht="15.6" x14ac:dyDescent="0.3">
      <c r="D12" s="4"/>
    </row>
    <row r="14" spans="1:7" ht="25.8" x14ac:dyDescent="0.5">
      <c r="G14" s="6" t="s">
        <v>68</v>
      </c>
    </row>
    <row r="15" spans="1:7" x14ac:dyDescent="0.3">
      <c r="G15" s="5"/>
    </row>
    <row r="16" spans="1:7" x14ac:dyDescent="0.3">
      <c r="G16" s="5"/>
    </row>
    <row r="18" spans="2:7" ht="25.8" x14ac:dyDescent="0.5">
      <c r="G18" s="6" t="s">
        <v>69</v>
      </c>
    </row>
    <row r="21" spans="2:7" x14ac:dyDescent="0.3">
      <c r="B21" s="3"/>
    </row>
  </sheetData>
  <hyperlinks>
    <hyperlink ref="G14" location="Purchase!A1" display="Purchase Entry" xr:uid="{5A7FBBC8-D8F5-45C5-8F74-CA06DB561E21}"/>
    <hyperlink ref="G18" location="Sales!A1" display="Sale Entry" xr:uid="{A929483B-8918-441E-A012-4790B27396A6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7C11-F592-499D-A1BE-5B1F6C8B82AA}">
  <dimension ref="A1:K23"/>
  <sheetViews>
    <sheetView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16.21875" style="1" customWidth="1"/>
    <col min="5" max="5" width="23.88671875" style="1" customWidth="1"/>
    <col min="6" max="6" width="17.88671875" style="1" customWidth="1"/>
    <col min="7" max="7" width="23.5546875" style="1" customWidth="1"/>
    <col min="8" max="8" width="9.5546875" style="1" customWidth="1"/>
    <col min="9" max="9" width="19.33203125" style="1" customWidth="1"/>
    <col min="10" max="10" width="18.6640625" style="1" customWidth="1"/>
    <col min="11" max="16384" width="8.88671875" style="1"/>
  </cols>
  <sheetData>
    <row r="1" spans="1:11" x14ac:dyDescent="0.3">
      <c r="A1" s="1" t="s">
        <v>0</v>
      </c>
      <c r="B1" s="1"/>
    </row>
    <row r="8" spans="1:11" ht="46.8" x14ac:dyDescent="0.3">
      <c r="D8" s="14" t="s">
        <v>26</v>
      </c>
      <c r="E8" s="14" t="s">
        <v>27</v>
      </c>
      <c r="F8" s="14" t="s">
        <v>70</v>
      </c>
      <c r="G8" s="14" t="s">
        <v>71</v>
      </c>
      <c r="H8" s="14" t="s">
        <v>72</v>
      </c>
      <c r="I8" s="14" t="s">
        <v>28</v>
      </c>
      <c r="J8" s="14" t="s">
        <v>73</v>
      </c>
    </row>
    <row r="9" spans="1:11" ht="23.4" x14ac:dyDescent="0.45">
      <c r="D9" s="12" t="s">
        <v>30</v>
      </c>
      <c r="E9" s="12" t="str">
        <f>IFERROR(VLOOKUP(Purchasetable[[#This Row],[HSN Code]],productT[#All],2,0),"")</f>
        <v>Smart Watch</v>
      </c>
      <c r="F9" s="12" t="str">
        <f>IFERROR(VLOOKUP(Purchasetable[[#This Row],[HSN Code]],Vtable[#All],3,0),"")</f>
        <v>Tech99</v>
      </c>
      <c r="G9" s="11">
        <v>45292</v>
      </c>
      <c r="H9" s="12">
        <v>10</v>
      </c>
      <c r="I9" s="12">
        <f>IFERROR(VLOOKUP(Purchasetable[[#This Row],[HSN Code]],productT[#All],3,0),"")</f>
        <v>980</v>
      </c>
      <c r="J9" s="12">
        <f>IFERROR(Purchasetable[[#This Row],[Units]]*Purchasetable[[#This Row],[Cost]],"")</f>
        <v>9800</v>
      </c>
      <c r="K9" s="8"/>
    </row>
    <row r="10" spans="1:11" ht="23.4" x14ac:dyDescent="0.45">
      <c r="D10" s="12" t="s">
        <v>32</v>
      </c>
      <c r="E10" s="12" t="str">
        <f>IFERROR(VLOOKUP(Purchasetable[[#This Row],[HSN Code]],productT[#All],2,0),"")</f>
        <v>Laptop HP xyz i5</v>
      </c>
      <c r="F10" s="12" t="str">
        <f>IFERROR(VLOOKUP(Purchasetable[[#This Row],[HSN Code]],Vtable[#All],3,0),"")</f>
        <v>Tech99</v>
      </c>
      <c r="G10" s="11">
        <v>45292</v>
      </c>
      <c r="H10" s="12">
        <v>10</v>
      </c>
      <c r="I10" s="12">
        <f>IFERROR(VLOOKUP(Purchasetable[[#This Row],[HSN Code]],productT[#All],3,0),"")</f>
        <v>34500</v>
      </c>
      <c r="J10" s="12">
        <f>IFERROR(Purchasetable[[#This Row],[Units]]*Purchasetable[[#This Row],[Cost]],"")</f>
        <v>345000</v>
      </c>
      <c r="K10" s="8"/>
    </row>
    <row r="11" spans="1:11" ht="23.4" x14ac:dyDescent="0.45">
      <c r="D11" s="12" t="s">
        <v>34</v>
      </c>
      <c r="E11" s="12" t="str">
        <f>IFERROR(VLOOKUP(Purchasetable[[#This Row],[HSN Code]],productT[#All],2,0),"")</f>
        <v>Wireless Printer</v>
      </c>
      <c r="F11" s="12" t="str">
        <f>IFERROR(VLOOKUP(Purchasetable[[#This Row],[HSN Code]],Vtable[#All],3,0),"")</f>
        <v>Tech99</v>
      </c>
      <c r="G11" s="11">
        <v>45323</v>
      </c>
      <c r="H11" s="12">
        <v>50</v>
      </c>
      <c r="I11" s="12">
        <f>IFERROR(VLOOKUP(Purchasetable[[#This Row],[HSN Code]],productT[#All],3,0),"")</f>
        <v>4600</v>
      </c>
      <c r="J11" s="12">
        <f>IFERROR(Purchasetable[[#This Row],[Units]]*Purchasetable[[#This Row],[Cost]],"")</f>
        <v>230000</v>
      </c>
      <c r="K11" s="8"/>
    </row>
    <row r="12" spans="1:11" ht="23.4" x14ac:dyDescent="0.45">
      <c r="D12" s="12" t="s">
        <v>36</v>
      </c>
      <c r="E12" s="12" t="str">
        <f>IFERROR(VLOOKUP(Purchasetable[[#This Row],[HSN Code]],productT[#All],2,0),"")</f>
        <v>Desktop</v>
      </c>
      <c r="F12" s="12" t="str">
        <f>IFERROR(VLOOKUP(Purchasetable[[#This Row],[HSN Code]],Vtable[#All],3,0),"")</f>
        <v>GG Traders</v>
      </c>
      <c r="G12" s="11">
        <v>45323</v>
      </c>
      <c r="H12" s="12">
        <v>50</v>
      </c>
      <c r="I12" s="12">
        <f>IFERROR(VLOOKUP(Purchasetable[[#This Row],[HSN Code]],productT[#All],3,0),"")</f>
        <v>21000</v>
      </c>
      <c r="J12" s="12">
        <f>IFERROR(Purchasetable[[#This Row],[Units]]*Purchasetable[[#This Row],[Cost]],"")</f>
        <v>1050000</v>
      </c>
      <c r="K12" s="8"/>
    </row>
    <row r="13" spans="1:11" ht="23.4" x14ac:dyDescent="0.45">
      <c r="D13" s="12" t="s">
        <v>38</v>
      </c>
      <c r="E13" s="12" t="str">
        <f>IFERROR(VLOOKUP(Purchasetable[[#This Row],[HSN Code]],productT[#All],2,0),"")</f>
        <v>Mouse</v>
      </c>
      <c r="F13" s="12" t="str">
        <f>IFERROR(VLOOKUP(Purchasetable[[#This Row],[HSN Code]],Vtable[#All],3,0),"")</f>
        <v>GG Traders</v>
      </c>
      <c r="G13" s="11">
        <v>45323</v>
      </c>
      <c r="H13" s="12">
        <v>50</v>
      </c>
      <c r="I13" s="12">
        <f>IFERROR(VLOOKUP(Purchasetable[[#This Row],[HSN Code]],productT[#All],3,0),"")</f>
        <v>200</v>
      </c>
      <c r="J13" s="12">
        <f>IFERROR(Purchasetable[[#This Row],[Units]]*Purchasetable[[#This Row],[Cost]],"")</f>
        <v>10000</v>
      </c>
      <c r="K13" s="8"/>
    </row>
    <row r="14" spans="1:11" ht="23.4" x14ac:dyDescent="0.45">
      <c r="D14" s="12" t="s">
        <v>40</v>
      </c>
      <c r="E14" s="12" t="str">
        <f>IFERROR(VLOOKUP(Purchasetable[[#This Row],[HSN Code]],productT[#All],2,0),"")</f>
        <v>Rgb Keyboard</v>
      </c>
      <c r="F14" s="12" t="str">
        <f>IFERROR(VLOOKUP(Purchasetable[[#This Row],[HSN Code]],Vtable[#All],3,0),"")</f>
        <v>GG Traders</v>
      </c>
      <c r="G14" s="11">
        <v>45323</v>
      </c>
      <c r="H14" s="12">
        <v>100</v>
      </c>
      <c r="I14" s="12">
        <f>IFERROR(VLOOKUP(Purchasetable[[#This Row],[HSN Code]],productT[#All],3,0),"")</f>
        <v>340</v>
      </c>
      <c r="J14" s="12">
        <f>IFERROR(Purchasetable[[#This Row],[Units]]*Purchasetable[[#This Row],[Cost]],"")</f>
        <v>34000</v>
      </c>
      <c r="K14" s="8"/>
    </row>
    <row r="15" spans="1:11" ht="23.4" x14ac:dyDescent="0.45">
      <c r="D15" s="12" t="s">
        <v>42</v>
      </c>
      <c r="E15" s="12" t="str">
        <f>IFERROR(VLOOKUP(Purchasetable[[#This Row],[HSN Code]],productT[#All],2,0),"")</f>
        <v>Camera</v>
      </c>
      <c r="F15" s="12" t="str">
        <f>IFERROR(VLOOKUP(Purchasetable[[#This Row],[HSN Code]],Vtable[#All],3,0),"")</f>
        <v>GG Traders</v>
      </c>
      <c r="G15" s="11">
        <v>45323</v>
      </c>
      <c r="H15" s="12">
        <v>10</v>
      </c>
      <c r="I15" s="12">
        <f>IFERROR(VLOOKUP(Purchasetable[[#This Row],[HSN Code]],productT[#All],3,0),"")</f>
        <v>52000</v>
      </c>
      <c r="J15" s="12">
        <f>IFERROR(Purchasetable[[#This Row],[Units]]*Purchasetable[[#This Row],[Cost]],"")</f>
        <v>520000</v>
      </c>
      <c r="K15" s="8"/>
    </row>
    <row r="16" spans="1:11" ht="23.4" x14ac:dyDescent="0.45">
      <c r="D16" s="12" t="s">
        <v>44</v>
      </c>
      <c r="E16" s="12" t="str">
        <f>IFERROR(VLOOKUP(Purchasetable[[#This Row],[HSN Code]],productT[#All],2,0),"")</f>
        <v>Headphones</v>
      </c>
      <c r="F16" s="12" t="str">
        <f>IFERROR(VLOOKUP(Purchasetable[[#This Row],[HSN Code]],Vtable[#All],3,0),"")</f>
        <v>Compac</v>
      </c>
      <c r="G16" s="11">
        <v>45324</v>
      </c>
      <c r="H16" s="12">
        <v>20</v>
      </c>
      <c r="I16" s="12">
        <f>IFERROR(VLOOKUP(Purchasetable[[#This Row],[HSN Code]],productT[#All],3,0),"")</f>
        <v>799</v>
      </c>
      <c r="J16" s="12">
        <f>IFERROR(Purchasetable[[#This Row],[Units]]*Purchasetable[[#This Row],[Cost]],"")</f>
        <v>15980</v>
      </c>
      <c r="K16" s="8"/>
    </row>
    <row r="17" spans="2:11" ht="23.4" x14ac:dyDescent="0.45">
      <c r="D17" s="12" t="s">
        <v>46</v>
      </c>
      <c r="E17" s="12" t="str">
        <f>IFERROR(VLOOKUP(Purchasetable[[#This Row],[HSN Code]],productT[#All],2,0),"")</f>
        <v>Speakers</v>
      </c>
      <c r="F17" s="12" t="str">
        <f>IFERROR(VLOOKUP(Purchasetable[[#This Row],[HSN Code]],Vtable[#All],3,0),"")</f>
        <v>Compac</v>
      </c>
      <c r="G17" s="11">
        <v>45325</v>
      </c>
      <c r="H17" s="12">
        <v>30</v>
      </c>
      <c r="I17" s="12">
        <f>IFERROR(VLOOKUP(Purchasetable[[#This Row],[HSN Code]],productT[#All],3,0),"")</f>
        <v>670</v>
      </c>
      <c r="J17" s="12">
        <f>IFERROR(Purchasetable[[#This Row],[Units]]*Purchasetable[[#This Row],[Cost]],"")</f>
        <v>20100</v>
      </c>
      <c r="K17" s="8"/>
    </row>
    <row r="18" spans="2:11" ht="23.4" x14ac:dyDescent="0.45">
      <c r="D18" s="12" t="s">
        <v>48</v>
      </c>
      <c r="E18" s="12" t="str">
        <f>IFERROR(VLOOKUP(Purchasetable[[#This Row],[HSN Code]],productT[#All],2,0),"")</f>
        <v>Tablets</v>
      </c>
      <c r="F18" s="12" t="str">
        <f>IFERROR(VLOOKUP(Purchasetable[[#This Row],[HSN Code]],Vtable[#All],3,0),"")</f>
        <v>Compac</v>
      </c>
      <c r="G18" s="11">
        <v>45326</v>
      </c>
      <c r="H18" s="12">
        <v>25</v>
      </c>
      <c r="I18" s="12">
        <f>IFERROR(VLOOKUP(Purchasetable[[#This Row],[HSN Code]],productT[#All],3,0),"")</f>
        <v>23500</v>
      </c>
      <c r="J18" s="12">
        <f>IFERROR(Purchasetable[[#This Row],[Units]]*Purchasetable[[#This Row],[Cost]],"")</f>
        <v>587500</v>
      </c>
      <c r="K18" s="8"/>
    </row>
    <row r="19" spans="2:11" ht="23.4" x14ac:dyDescent="0.45">
      <c r="D19" s="12" t="s">
        <v>40</v>
      </c>
      <c r="E19" s="12" t="str">
        <f>IFERROR(VLOOKUP(Purchasetable[[#This Row],[HSN Code]],productT[#All],2,0),"")</f>
        <v>Rgb Keyboard</v>
      </c>
      <c r="F19" s="12" t="str">
        <f>IFERROR(VLOOKUP(Purchasetable[[#This Row],[HSN Code]],Vtable[#All],3,0),"")</f>
        <v>GG Traders</v>
      </c>
      <c r="G19" s="11">
        <v>45327</v>
      </c>
      <c r="H19" s="12">
        <v>40</v>
      </c>
      <c r="I19" s="12">
        <f>IFERROR(VLOOKUP(Purchasetable[[#This Row],[HSN Code]],productT[#All],3,0),"")</f>
        <v>340</v>
      </c>
      <c r="J19" s="12">
        <f>IFERROR(Purchasetable[[#This Row],[Units]]*Purchasetable[[#This Row],[Cost]],"")</f>
        <v>13600</v>
      </c>
      <c r="K19" s="8"/>
    </row>
    <row r="20" spans="2:11" ht="23.4" x14ac:dyDescent="0.45">
      <c r="D20" s="12"/>
      <c r="E20" s="12" t="str">
        <f>IFERROR(VLOOKUP(Purchasetable[[#This Row],[HSN Code]],productT[#All],2,0),"")</f>
        <v/>
      </c>
      <c r="F20" s="12" t="str">
        <f>IFERROR(VLOOKUP(Purchasetable[[#This Row],[HSN Code]],Vtable[#All],3,0),"")</f>
        <v/>
      </c>
      <c r="G20" s="12"/>
      <c r="H20" s="12"/>
      <c r="I20" s="12" t="str">
        <f>IFERROR(VLOOKUP(Purchasetable[[#This Row],[HSN Code]],productT[#All],3,0),"")</f>
        <v/>
      </c>
      <c r="J20" s="12" t="str">
        <f>IFERROR(Purchasetable[[#This Row],[Units]]*Purchasetable[[#This Row],[Cost]],"")</f>
        <v/>
      </c>
      <c r="K20" s="8"/>
    </row>
    <row r="21" spans="2:11" ht="23.4" x14ac:dyDescent="0.45">
      <c r="B21" s="3"/>
      <c r="D21" s="12"/>
      <c r="E21" s="12" t="str">
        <f>IFERROR(VLOOKUP(Purchasetable[[#This Row],[HSN Code]],productT[#All],2,0),"")</f>
        <v/>
      </c>
      <c r="F21" s="12" t="str">
        <f>IFERROR(VLOOKUP(Purchasetable[[#This Row],[HSN Code]],Vtable[#All],3,0),"")</f>
        <v/>
      </c>
      <c r="G21" s="12"/>
      <c r="H21" s="12"/>
      <c r="I21" s="12" t="str">
        <f>IFERROR(VLOOKUP(Purchasetable[[#This Row],[HSN Code]],productT[#All],3,0),"")</f>
        <v/>
      </c>
      <c r="J21" s="12" t="str">
        <f>IFERROR(Purchasetable[[#This Row],[Units]]*Purchasetable[[#This Row],[Cost]],"")</f>
        <v/>
      </c>
      <c r="K21" s="8"/>
    </row>
    <row r="22" spans="2:11" ht="23.4" x14ac:dyDescent="0.45">
      <c r="D22" s="12"/>
      <c r="E22" s="12"/>
      <c r="F22" s="12"/>
      <c r="G22" s="12"/>
      <c r="H22" s="12"/>
      <c r="I22" s="12"/>
      <c r="J22" s="12"/>
    </row>
    <row r="23" spans="2:11" ht="23.4" x14ac:dyDescent="0.45">
      <c r="D23" s="12"/>
      <c r="E23" s="12"/>
      <c r="F23" s="12"/>
      <c r="G23" s="12"/>
      <c r="H23" s="12"/>
      <c r="I23" s="12"/>
      <c r="J23" s="12"/>
    </row>
  </sheetData>
  <dataValidations count="1">
    <dataValidation type="list" allowBlank="1" showInputMessage="1" showErrorMessage="1" sqref="D9:D21" xr:uid="{A697F640-2C56-40CC-BEC7-A4D9481A58C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9265-76D8-4133-9DF7-47905EB16F6E}">
  <dimension ref="A1:M30"/>
  <sheetViews>
    <sheetView zoomScale="80" zoomScaleNormal="80" workbookViewId="0"/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14.77734375" style="1" customWidth="1"/>
    <col min="5" max="5" width="19.88671875" style="1" customWidth="1"/>
    <col min="6" max="7" width="22.5546875" style="1" customWidth="1"/>
    <col min="8" max="8" width="18.88671875" style="1" customWidth="1"/>
    <col min="9" max="9" width="20.33203125" style="1" customWidth="1"/>
    <col min="10" max="10" width="14.77734375" style="1" customWidth="1"/>
    <col min="11" max="11" width="15.88671875" style="1" customWidth="1"/>
    <col min="12" max="12" width="17.33203125" style="1" customWidth="1"/>
    <col min="13" max="13" width="14.21875" style="1" customWidth="1"/>
    <col min="14" max="16384" width="8.88671875" style="1"/>
  </cols>
  <sheetData>
    <row r="1" spans="1:13" x14ac:dyDescent="0.3">
      <c r="A1" s="1" t="s">
        <v>0</v>
      </c>
      <c r="B1" s="1"/>
    </row>
    <row r="9" spans="1:13" ht="46.8" x14ac:dyDescent="0.3">
      <c r="D9" s="13" t="s">
        <v>1</v>
      </c>
      <c r="E9" s="13" t="s">
        <v>74</v>
      </c>
      <c r="F9" s="13" t="s">
        <v>26</v>
      </c>
      <c r="G9" s="13" t="s">
        <v>27</v>
      </c>
      <c r="H9" s="13" t="s">
        <v>71</v>
      </c>
      <c r="I9" s="13" t="s">
        <v>75</v>
      </c>
      <c r="J9" s="13" t="s">
        <v>72</v>
      </c>
      <c r="K9" s="13" t="s">
        <v>76</v>
      </c>
      <c r="L9" s="13" t="s">
        <v>73</v>
      </c>
    </row>
    <row r="10" spans="1:13" ht="23.4" x14ac:dyDescent="0.45">
      <c r="D10" s="10">
        <v>100</v>
      </c>
      <c r="E10" s="10" t="str">
        <f>IFERROR(VLOOKUP(Table2[[#This Row],[Cust_ID]],customer1[#All],2,FALSE),"")</f>
        <v>Ram sales</v>
      </c>
      <c r="F10" s="10" t="s">
        <v>30</v>
      </c>
      <c r="G10" s="10" t="str">
        <f>IFERROR(VLOOKUP(Table2[[#This Row],[HSN Code]],productT[#All],2,0),"")</f>
        <v>Smart Watch</v>
      </c>
      <c r="H10" s="11">
        <v>45292</v>
      </c>
      <c r="I10" s="10">
        <f>VLOOKUP(Table2[[#This Row],[HSN Code]],Inventory!D7:J17,6,0)</f>
        <v>970</v>
      </c>
      <c r="J10" s="10">
        <v>10</v>
      </c>
      <c r="K10" s="10">
        <f>IFERROR(VLOOKUP(Table2[[#This Row],[HSN Code]],productT[#All],4,0),"")</f>
        <v>1176</v>
      </c>
      <c r="L10" s="10">
        <f>IFERROR(Table2[[#This Row],[Price]]*Table2[[#This Row],[Units]],"")</f>
        <v>11760</v>
      </c>
      <c r="M10" s="12"/>
    </row>
    <row r="11" spans="1:13" ht="23.4" x14ac:dyDescent="0.45">
      <c r="D11" s="10">
        <v>101</v>
      </c>
      <c r="E11" s="10" t="str">
        <f>IFERROR(VLOOKUP(Table2[[#This Row],[Cust_ID]],customer1[#All],2,FALSE),"")</f>
        <v>Atul Ltd.</v>
      </c>
      <c r="F11" s="10" t="s">
        <v>32</v>
      </c>
      <c r="G11" s="10" t="str">
        <f>IFERROR(VLOOKUP(Table2[[#This Row],[HSN Code]],productT[#All],2,0),"")</f>
        <v>Laptop HP xyz i5</v>
      </c>
      <c r="H11" s="11">
        <v>45292</v>
      </c>
      <c r="I11" s="10">
        <f>VLOOKUP(Table2[[#This Row],[HSN Code]],Inventory!D8:J18,6,0)</f>
        <v>34490</v>
      </c>
      <c r="J11" s="10">
        <v>10</v>
      </c>
      <c r="K11" s="10">
        <f>IFERROR(VLOOKUP(Table2[[#This Row],[HSN Code]],productT[#All],4,0),"")</f>
        <v>41400</v>
      </c>
      <c r="L11" s="10">
        <f>IFERROR(Table2[[#This Row],[Price]]*Table2[[#This Row],[Units]],"")</f>
        <v>414000</v>
      </c>
      <c r="M11" s="12"/>
    </row>
    <row r="12" spans="1:13" ht="23.4" x14ac:dyDescent="0.45">
      <c r="D12" s="10">
        <v>102</v>
      </c>
      <c r="E12" s="10" t="str">
        <f>IFERROR(VLOOKUP(Table2[[#This Row],[Cust_ID]],customer1[#All],2,FALSE),"")</f>
        <v>MK Tech.</v>
      </c>
      <c r="F12" s="10" t="s">
        <v>34</v>
      </c>
      <c r="G12" s="10" t="str">
        <f>IFERROR(VLOOKUP(Table2[[#This Row],[HSN Code]],productT[#All],2,0),"")</f>
        <v>Wireless Printer</v>
      </c>
      <c r="H12" s="11">
        <v>45323</v>
      </c>
      <c r="I12" s="10">
        <f>VLOOKUP(Table2[[#This Row],[HSN Code]],Inventory!D9:J19,6,0)</f>
        <v>4550</v>
      </c>
      <c r="J12" s="10">
        <v>50</v>
      </c>
      <c r="K12" s="10">
        <f>IFERROR(VLOOKUP(Table2[[#This Row],[HSN Code]],productT[#All],4,0),"")</f>
        <v>5520</v>
      </c>
      <c r="L12" s="10">
        <f>IFERROR(Table2[[#This Row],[Price]]*Table2[[#This Row],[Units]],"")</f>
        <v>276000</v>
      </c>
      <c r="M12" s="12"/>
    </row>
    <row r="13" spans="1:13" ht="23.4" x14ac:dyDescent="0.45">
      <c r="D13" s="10">
        <v>103</v>
      </c>
      <c r="E13" s="10" t="str">
        <f>IFERROR(VLOOKUP(Table2[[#This Row],[Cust_ID]],customer1[#All],2,FALSE),"")</f>
        <v>99store</v>
      </c>
      <c r="F13" s="10" t="s">
        <v>36</v>
      </c>
      <c r="G13" s="10" t="str">
        <f>IFERROR(VLOOKUP(Table2[[#This Row],[HSN Code]],productT[#All],2,0),"")</f>
        <v>Desktop</v>
      </c>
      <c r="H13" s="11">
        <v>45323</v>
      </c>
      <c r="I13" s="10">
        <f>VLOOKUP(Table2[[#This Row],[HSN Code]],Inventory!D10:J20,6,0)</f>
        <v>20950</v>
      </c>
      <c r="J13" s="10">
        <v>50</v>
      </c>
      <c r="K13" s="10">
        <f>IFERROR(VLOOKUP(Table2[[#This Row],[HSN Code]],productT[#All],4,0),"")</f>
        <v>25200</v>
      </c>
      <c r="L13" s="10">
        <f>IFERROR(Table2[[#This Row],[Price]]*Table2[[#This Row],[Units]],"")</f>
        <v>1260000</v>
      </c>
      <c r="M13" s="12"/>
    </row>
    <row r="14" spans="1:13" ht="23.4" x14ac:dyDescent="0.45">
      <c r="D14" s="10">
        <v>104</v>
      </c>
      <c r="E14" s="10" t="str">
        <f>IFERROR(VLOOKUP(Table2[[#This Row],[Cust_ID]],customer1[#All],2,FALSE),"")</f>
        <v>Rajesh Kumar</v>
      </c>
      <c r="F14" s="10" t="s">
        <v>38</v>
      </c>
      <c r="G14" s="10" t="str">
        <f>IFERROR(VLOOKUP(Table2[[#This Row],[HSN Code]],productT[#All],2,0),"")</f>
        <v>Mouse</v>
      </c>
      <c r="H14" s="11">
        <v>45323</v>
      </c>
      <c r="I14" s="10">
        <f>VLOOKUP(Table2[[#This Row],[HSN Code]],Inventory!D11:J21,6,0)</f>
        <v>150</v>
      </c>
      <c r="J14" s="10">
        <v>50</v>
      </c>
      <c r="K14" s="10">
        <f>IFERROR(VLOOKUP(Table2[[#This Row],[HSN Code]],productT[#All],4,0),"")</f>
        <v>240</v>
      </c>
      <c r="L14" s="10">
        <f>IFERROR(Table2[[#This Row],[Price]]*Table2[[#This Row],[Units]],"")</f>
        <v>12000</v>
      </c>
      <c r="M14" s="12"/>
    </row>
    <row r="15" spans="1:13" ht="23.4" x14ac:dyDescent="0.45">
      <c r="D15" s="10">
        <v>105</v>
      </c>
      <c r="E15" s="10" t="str">
        <f>IFERROR(VLOOKUP(Table2[[#This Row],[Cust_ID]],customer1[#All],2,FALSE),"")</f>
        <v>Amit</v>
      </c>
      <c r="F15" s="10" t="s">
        <v>40</v>
      </c>
      <c r="G15" s="10" t="str">
        <f>IFERROR(VLOOKUP(Table2[[#This Row],[HSN Code]],productT[#All],2,0),"")</f>
        <v>Rgb Keyboard</v>
      </c>
      <c r="H15" s="11">
        <v>45323</v>
      </c>
      <c r="I15" s="10">
        <f>VLOOKUP(Table2[[#This Row],[HSN Code]],Inventory!D12:J22,6,0)</f>
        <v>580</v>
      </c>
      <c r="J15" s="10">
        <v>100</v>
      </c>
      <c r="K15" s="10">
        <f>IFERROR(VLOOKUP(Table2[[#This Row],[HSN Code]],productT[#All],4,0),"")</f>
        <v>408</v>
      </c>
      <c r="L15" s="10">
        <f>IFERROR(Table2[[#This Row],[Price]]*Table2[[#This Row],[Units]],"")</f>
        <v>40800</v>
      </c>
      <c r="M15" s="12"/>
    </row>
    <row r="16" spans="1:13" ht="23.4" x14ac:dyDescent="0.45">
      <c r="D16" s="10">
        <v>106</v>
      </c>
      <c r="E16" s="10" t="str">
        <f>IFERROR(VLOOKUP(Table2[[#This Row],[Cust_ID]],customer1[#All],2,FALSE),"")</f>
        <v>Jain Tel.</v>
      </c>
      <c r="F16" s="10" t="s">
        <v>42</v>
      </c>
      <c r="G16" s="10" t="str">
        <f>IFERROR(VLOOKUP(Table2[[#This Row],[HSN Code]],productT[#All],2,0),"")</f>
        <v>Camera</v>
      </c>
      <c r="H16" s="11">
        <v>45323</v>
      </c>
      <c r="I16" s="10">
        <f>VLOOKUP(Table2[[#This Row],[HSN Code]],Inventory!D13:J23,6,0)</f>
        <v>51950</v>
      </c>
      <c r="J16" s="10">
        <v>10</v>
      </c>
      <c r="K16" s="10">
        <f>IFERROR(VLOOKUP(Table2[[#This Row],[HSN Code]],productT[#All],4,0),"")</f>
        <v>62400</v>
      </c>
      <c r="L16" s="10">
        <f>IFERROR(Table2[[#This Row],[Price]]*Table2[[#This Row],[Units]],"")</f>
        <v>624000</v>
      </c>
      <c r="M16" s="12"/>
    </row>
    <row r="17" spans="2:13" ht="23.4" x14ac:dyDescent="0.45">
      <c r="D17" s="10">
        <v>105</v>
      </c>
      <c r="E17" s="10" t="str">
        <f>IFERROR(VLOOKUP(Table2[[#This Row],[Cust_ID]],customer1[#All],2,FALSE),"")</f>
        <v>Amit</v>
      </c>
      <c r="F17" s="10" t="s">
        <v>44</v>
      </c>
      <c r="G17" s="10" t="str">
        <f>IFERROR(VLOOKUP(Table2[[#This Row],[HSN Code]],productT[#All],2,0),"")</f>
        <v>Headphones</v>
      </c>
      <c r="H17" s="11">
        <v>45324</v>
      </c>
      <c r="I17" s="10">
        <f>VLOOKUP(Table2[[#This Row],[HSN Code]],Inventory!D14:J24,6,0)</f>
        <v>779</v>
      </c>
      <c r="J17" s="10">
        <v>20</v>
      </c>
      <c r="K17" s="10">
        <f>IFERROR(VLOOKUP(Table2[[#This Row],[HSN Code]],productT[#All],4,0),"")</f>
        <v>958.8</v>
      </c>
      <c r="L17" s="10">
        <f>IFERROR(Table2[[#This Row],[Price]]*Table2[[#This Row],[Units]],"")</f>
        <v>19176</v>
      </c>
      <c r="M17" s="12"/>
    </row>
    <row r="18" spans="2:13" ht="23.4" x14ac:dyDescent="0.45">
      <c r="D18" s="10">
        <v>106</v>
      </c>
      <c r="E18" s="10" t="str">
        <f>IFERROR(VLOOKUP(Table2[[#This Row],[Cust_ID]],customer1[#All],2,FALSE),"")</f>
        <v>Jain Tel.</v>
      </c>
      <c r="F18" s="10" t="s">
        <v>46</v>
      </c>
      <c r="G18" s="10" t="str">
        <f>IFERROR(VLOOKUP(Table2[[#This Row],[HSN Code]],productT[#All],2,0),"")</f>
        <v>Speakers</v>
      </c>
      <c r="H18" s="11">
        <v>45325</v>
      </c>
      <c r="I18" s="10">
        <f>VLOOKUP(Table2[[#This Row],[HSN Code]],Inventory!D15:J25,6,0)</f>
        <v>640</v>
      </c>
      <c r="J18" s="10">
        <v>30</v>
      </c>
      <c r="K18" s="10">
        <f>IFERROR(VLOOKUP(Table2[[#This Row],[HSN Code]],productT[#All],4,0),"")</f>
        <v>804</v>
      </c>
      <c r="L18" s="10">
        <f>IFERROR(Table2[[#This Row],[Price]]*Table2[[#This Row],[Units]],"")</f>
        <v>24120</v>
      </c>
      <c r="M18" s="12"/>
    </row>
    <row r="19" spans="2:13" ht="23.4" x14ac:dyDescent="0.45">
      <c r="D19" s="10">
        <v>101</v>
      </c>
      <c r="E19" s="10" t="str">
        <f>IFERROR(VLOOKUP(Table2[[#This Row],[Cust_ID]],customer1[#All],2,FALSE),"")</f>
        <v>Atul Ltd.</v>
      </c>
      <c r="F19" s="10" t="s">
        <v>48</v>
      </c>
      <c r="G19" s="10" t="str">
        <f>IFERROR(VLOOKUP(Table2[[#This Row],[HSN Code]],productT[#All],2,0),"")</f>
        <v>Tablets</v>
      </c>
      <c r="H19" s="11">
        <v>45326</v>
      </c>
      <c r="I19" s="10">
        <f>VLOOKUP(Table2[[#This Row],[HSN Code]],Inventory!D16:J26,6,0)</f>
        <v>23475</v>
      </c>
      <c r="J19" s="10">
        <v>25</v>
      </c>
      <c r="K19" s="10">
        <f>IFERROR(VLOOKUP(Table2[[#This Row],[HSN Code]],productT[#All],4,0),"")</f>
        <v>28200</v>
      </c>
      <c r="L19" s="10">
        <f>IFERROR(Table2[[#This Row],[Price]]*Table2[[#This Row],[Units]],"")</f>
        <v>705000</v>
      </c>
      <c r="M19" s="12"/>
    </row>
    <row r="20" spans="2:13" ht="23.4" x14ac:dyDescent="0.45">
      <c r="D20" s="10">
        <v>100</v>
      </c>
      <c r="E20" s="10" t="str">
        <f>IFERROR(VLOOKUP(Table2[[#This Row],[Cust_ID]],customer1[#All],2,FALSE),"")</f>
        <v>Ram sales</v>
      </c>
      <c r="F20" s="10" t="s">
        <v>42</v>
      </c>
      <c r="G20" s="10" t="str">
        <f>IFERROR(VLOOKUP(Table2[[#This Row],[HSN Code]],productT[#All],2,0),"")</f>
        <v>Camera</v>
      </c>
      <c r="H20" s="11">
        <v>45327</v>
      </c>
      <c r="I20" s="10"/>
      <c r="J20" s="10">
        <v>40</v>
      </c>
      <c r="K20" s="10">
        <f>IFERROR(VLOOKUP(Table2[[#This Row],[HSN Code]],productT[#All],4,0),"")</f>
        <v>62400</v>
      </c>
      <c r="L20" s="10">
        <f>IFERROR(Table2[[#This Row],[Price]]*Table2[[#This Row],[Units]],"")</f>
        <v>2496000</v>
      </c>
      <c r="M20" s="12"/>
    </row>
    <row r="21" spans="2:13" ht="19.8" x14ac:dyDescent="0.4">
      <c r="B21" s="3"/>
      <c r="D21" s="9"/>
      <c r="E21" s="9" t="str">
        <f>IFERROR(VLOOKUP(Table2[[#This Row],[Cust_ID]],customer1[#All],2,FALSE),"")</f>
        <v/>
      </c>
      <c r="F21" s="9"/>
      <c r="G21" s="9" t="str">
        <f>IFERROR(VLOOKUP(Table2[[#This Row],[HSN Code]],productT[#All],2,0),"")</f>
        <v/>
      </c>
      <c r="H21" s="9"/>
      <c r="I21" s="9"/>
      <c r="J21" s="9"/>
      <c r="K21" s="9" t="str">
        <f>IFERROR(VLOOKUP(Table2[[#This Row],[HSN Code]],productT[#All],4,0),"")</f>
        <v/>
      </c>
      <c r="L21" s="9" t="str">
        <f>IFERROR(Table2[[#This Row],[Price]]*Table2[[#This Row],[Units]],"")</f>
        <v/>
      </c>
    </row>
    <row r="22" spans="2:13" ht="19.8" x14ac:dyDescent="0.4">
      <c r="D22" s="9"/>
      <c r="E22" s="9" t="str">
        <f>IFERROR(VLOOKUP(Table2[[#This Row],[Cust_ID]],customer1[#All],2,FALSE),"")</f>
        <v/>
      </c>
      <c r="F22" s="9"/>
      <c r="G22" s="9" t="str">
        <f>IFERROR(VLOOKUP(Table2[[#This Row],[HSN Code]],productT[#All],2,0),"")</f>
        <v/>
      </c>
      <c r="H22" s="9"/>
      <c r="I22" s="9"/>
      <c r="J22" s="9"/>
      <c r="K22" s="9" t="str">
        <f>IFERROR(VLOOKUP(Table2[[#This Row],[HSN Code]],productT[#All],4,0),"")</f>
        <v/>
      </c>
      <c r="L22" s="9" t="str">
        <f>IFERROR(Table2[[#This Row],[Price]]*Table2[[#This Row],[Units]],"")</f>
        <v/>
      </c>
    </row>
    <row r="23" spans="2:13" ht="19.8" x14ac:dyDescent="0.4">
      <c r="D23" s="9"/>
      <c r="E23" s="9" t="str">
        <f>IFERROR(VLOOKUP(Table2[[#This Row],[Cust_ID]],customer1[#All],2,FALSE),"")</f>
        <v/>
      </c>
      <c r="F23" s="9"/>
      <c r="G23" s="9" t="str">
        <f>IFERROR(VLOOKUP(Table2[[#This Row],[HSN Code]],productT[#All],2,0),"")</f>
        <v/>
      </c>
      <c r="H23" s="9"/>
      <c r="I23" s="9"/>
      <c r="J23" s="9"/>
      <c r="K23" s="9" t="str">
        <f>IFERROR(VLOOKUP(Table2[[#This Row],[HSN Code]],productT[#All],4,0),"")</f>
        <v/>
      </c>
      <c r="L23" s="9" t="str">
        <f>IFERROR(Table2[[#This Row],[Price]]*Table2[[#This Row],[Units]],"")</f>
        <v/>
      </c>
    </row>
    <row r="24" spans="2:13" ht="19.8" x14ac:dyDescent="0.4">
      <c r="D24" s="9"/>
      <c r="E24" s="9" t="str">
        <f>IFERROR(VLOOKUP(Table2[[#This Row],[Cust_ID]],customer1[#All],2,FALSE),"")</f>
        <v/>
      </c>
      <c r="F24" s="9"/>
      <c r="G24" s="9" t="str">
        <f>IFERROR(VLOOKUP(Table2[[#This Row],[HSN Code]],productT[#All],2,0),"")</f>
        <v/>
      </c>
      <c r="H24" s="9"/>
      <c r="I24" s="9"/>
      <c r="J24" s="9"/>
      <c r="K24" s="9" t="str">
        <f>IFERROR(VLOOKUP(Table2[[#This Row],[HSN Code]],productT[#All],4,0),"")</f>
        <v/>
      </c>
      <c r="L24" s="9" t="str">
        <f>IFERROR(Table2[[#This Row],[Price]]*Table2[[#This Row],[Units]],"")</f>
        <v/>
      </c>
    </row>
    <row r="25" spans="2:13" ht="19.8" x14ac:dyDescent="0.4">
      <c r="D25" s="8"/>
      <c r="E25" s="8" t="str">
        <f>IFERROR(VLOOKUP(Table2[[#This Row],[Cust_ID]],customer1[#All],2,FALSE),"")</f>
        <v/>
      </c>
      <c r="F25" s="8"/>
      <c r="G25" s="8" t="str">
        <f>IFERROR(VLOOKUP(Table2[[#This Row],[HSN Code]],productT[#All],2,0),"")</f>
        <v/>
      </c>
      <c r="H25" s="8"/>
      <c r="I25" s="9"/>
      <c r="J25" s="8"/>
      <c r="K25" s="8" t="str">
        <f>IFERROR(VLOOKUP(Table2[[#This Row],[HSN Code]],productT[#All],4,0),"")</f>
        <v/>
      </c>
      <c r="L25" s="8" t="str">
        <f>IFERROR(Table2[[#This Row],[Price]]*Table2[[#This Row],[Units]],"")</f>
        <v/>
      </c>
    </row>
    <row r="26" spans="2:13" ht="19.8" x14ac:dyDescent="0.4">
      <c r="D26" s="8"/>
      <c r="E26" s="8" t="str">
        <f>IFERROR(VLOOKUP(Table2[[#This Row],[Cust_ID]],customer1[#All],2,FALSE),"")</f>
        <v/>
      </c>
      <c r="F26" s="8"/>
      <c r="G26" s="8" t="str">
        <f>IFERROR(VLOOKUP(Table2[[#This Row],[HSN Code]],productT[#All],2,0),"")</f>
        <v/>
      </c>
      <c r="H26" s="8"/>
      <c r="I26" s="9"/>
      <c r="J26" s="8"/>
      <c r="K26" s="8" t="str">
        <f>IFERROR(VLOOKUP(Table2[[#This Row],[HSN Code]],productT[#All],4,0),"")</f>
        <v/>
      </c>
      <c r="L26" s="8" t="str">
        <f>IFERROR(Table2[[#This Row],[Price]]*Table2[[#This Row],[Units]],"")</f>
        <v/>
      </c>
    </row>
    <row r="27" spans="2:13" ht="19.8" x14ac:dyDescent="0.4">
      <c r="D27" s="8"/>
      <c r="E27" s="8" t="str">
        <f>IFERROR(VLOOKUP(Table2[[#This Row],[Cust_ID]],customer1[#All],2,FALSE),"")</f>
        <v/>
      </c>
      <c r="F27" s="8"/>
      <c r="G27" s="8" t="str">
        <f>IFERROR(VLOOKUP(Table2[[#This Row],[HSN Code]],productT[#All],2,0),"")</f>
        <v/>
      </c>
      <c r="H27" s="8"/>
      <c r="I27" s="9"/>
      <c r="J27" s="8"/>
      <c r="K27" s="8" t="str">
        <f>IFERROR(VLOOKUP(Table2[[#This Row],[HSN Code]],productT[#All],4,0),"")</f>
        <v/>
      </c>
      <c r="L27" s="8" t="str">
        <f>IFERROR(Table2[[#This Row],[Price]]*Table2[[#This Row],[Units]],"")</f>
        <v/>
      </c>
    </row>
    <row r="28" spans="2:13" ht="19.8" x14ac:dyDescent="0.4">
      <c r="D28" s="8"/>
      <c r="E28" s="8" t="str">
        <f>IFERROR(VLOOKUP(Table2[[#This Row],[Cust_ID]],customer1[#All],2,FALSE),"")</f>
        <v/>
      </c>
      <c r="F28" s="8"/>
      <c r="G28" s="8" t="str">
        <f>IFERROR(VLOOKUP(Table2[[#This Row],[HSN Code]],productT[#All],2,0),"")</f>
        <v/>
      </c>
      <c r="H28" s="8"/>
      <c r="I28" s="9"/>
      <c r="J28" s="8"/>
      <c r="K28" s="8" t="str">
        <f>IFERROR(VLOOKUP(Table2[[#This Row],[HSN Code]],productT[#All],4,0),"")</f>
        <v/>
      </c>
      <c r="L28" s="8" t="str">
        <f>IFERROR(Table2[[#This Row],[Price]]*Table2[[#This Row],[Units]],"")</f>
        <v/>
      </c>
    </row>
    <row r="29" spans="2:13" ht="19.8" x14ac:dyDescent="0.4">
      <c r="D29" s="8"/>
      <c r="E29" s="8" t="str">
        <f>IFERROR(VLOOKUP(Table2[[#This Row],[Cust_ID]],customer1[#All],2,FALSE),"")</f>
        <v/>
      </c>
      <c r="F29" s="8"/>
      <c r="G29" s="8" t="str">
        <f>IFERROR(VLOOKUP(Table2[[#This Row],[HSN Code]],productT[#All],2,0),"")</f>
        <v/>
      </c>
      <c r="H29" s="8"/>
      <c r="I29" s="9"/>
      <c r="J29" s="8"/>
      <c r="K29" s="8" t="str">
        <f>IFERROR(VLOOKUP(Table2[[#This Row],[HSN Code]],productT[#All],4,0),"")</f>
        <v/>
      </c>
      <c r="L29" s="8" t="str">
        <f>IFERROR(Table2[[#This Row],[Price]]*Table2[[#This Row],[Units]],"")</f>
        <v/>
      </c>
    </row>
    <row r="30" spans="2:13" ht="19.8" x14ac:dyDescent="0.4">
      <c r="D30" s="8"/>
      <c r="E30" s="8" t="str">
        <f>IFERROR(VLOOKUP(Table2[[#This Row],[Cust_ID]],customer1[#All],2,FALSE),"")</f>
        <v/>
      </c>
      <c r="F30" s="8"/>
      <c r="G30" s="8" t="str">
        <f>IFERROR(VLOOKUP(Table2[[#This Row],[HSN Code]],productT[#All],2,0),"")</f>
        <v/>
      </c>
      <c r="H30" s="8"/>
      <c r="I30" s="9"/>
      <c r="J30" s="8"/>
      <c r="K30" s="8" t="str">
        <f>IFERROR(VLOOKUP(Table2[[#This Row],[HSN Code]],productT[#All],4,0),"")</f>
        <v/>
      </c>
      <c r="L30" s="8" t="str">
        <f>IFERROR(Table2[[#This Row],[Price]]*Table2[[#This Row],[Units]],"")</f>
        <v/>
      </c>
    </row>
  </sheetData>
  <phoneticPr fontId="6" type="noConversion"/>
  <dataValidations count="2">
    <dataValidation type="list" allowBlank="1" showInputMessage="1" showErrorMessage="1" sqref="D10:D30" xr:uid="{CCB03344-7557-4F82-B758-56E9F586CBE0}">
      <formula1>Cid</formula1>
    </dataValidation>
    <dataValidation type="list" allowBlank="1" showInputMessage="1" showErrorMessage="1" sqref="F10:F24" xr:uid="{17B9C866-7736-4E10-90CA-54BE7F23C1B9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42DF-781E-4391-9B63-1E9F7D813CF7}">
  <dimension ref="A1:K27"/>
  <sheetViews>
    <sheetView zoomScale="80" zoomScaleNormal="80" workbookViewId="0">
      <selection activeCell="I21" sqref="I21"/>
    </sheetView>
  </sheetViews>
  <sheetFormatPr defaultRowHeight="14.4" x14ac:dyDescent="0.3"/>
  <cols>
    <col min="1" max="1" width="3.6640625" style="1" customWidth="1"/>
    <col min="2" max="2" width="30.33203125" style="2" customWidth="1"/>
    <col min="3" max="3" width="1.6640625" style="1" customWidth="1"/>
    <col min="4" max="4" width="17.33203125" style="1" customWidth="1"/>
    <col min="5" max="5" width="25.77734375" style="1" customWidth="1"/>
    <col min="6" max="6" width="14.109375" style="1" customWidth="1"/>
    <col min="7" max="7" width="15.88671875" style="1" customWidth="1"/>
    <col min="8" max="8" width="13.33203125" style="1" customWidth="1"/>
    <col min="9" max="9" width="16.44140625" style="1" customWidth="1"/>
    <col min="10" max="10" width="20.88671875" style="1" customWidth="1"/>
    <col min="11" max="11" width="44.77734375" style="1" hidden="1" customWidth="1"/>
    <col min="12" max="16384" width="8.88671875" style="1"/>
  </cols>
  <sheetData>
    <row r="1" spans="1:11" x14ac:dyDescent="0.3">
      <c r="A1" s="1" t="s">
        <v>0</v>
      </c>
      <c r="B1" s="1"/>
    </row>
    <row r="7" spans="1:11" ht="23.4" x14ac:dyDescent="0.45">
      <c r="D7" s="13" t="s">
        <v>26</v>
      </c>
      <c r="E7" s="13" t="s">
        <v>27</v>
      </c>
      <c r="F7" s="13" t="s">
        <v>28</v>
      </c>
      <c r="G7" s="13" t="s">
        <v>77</v>
      </c>
      <c r="H7" s="13" t="s">
        <v>78</v>
      </c>
      <c r="I7" s="13" t="s">
        <v>79</v>
      </c>
      <c r="J7" s="13" t="s">
        <v>80</v>
      </c>
      <c r="K7" s="12" t="s">
        <v>95</v>
      </c>
    </row>
    <row r="8" spans="1:11" ht="23.4" x14ac:dyDescent="0.45">
      <c r="D8" s="12" t="str">
        <f>IFERROR(Product!D7,"")</f>
        <v>N1001</v>
      </c>
      <c r="E8" s="12" t="str">
        <f>Product!E7</f>
        <v>Smart Watch</v>
      </c>
      <c r="F8" s="12">
        <f>Product!F7</f>
        <v>980</v>
      </c>
      <c r="G8" s="12">
        <f>IFERROR(SUMIF(Purchase!E8:E18,Inventory!E7:E17,Purchase!I8:I18),"")</f>
        <v>980</v>
      </c>
      <c r="H8" s="12">
        <f>IFERROR(SUMIF(Sales!G10:G20,Inventory!E8:E17,Sales!J10:J20),"")</f>
        <v>10</v>
      </c>
      <c r="I8" s="12">
        <f>Table5[[#This Row],[P Units]]-Table5[[#This Row],[S Units]]</f>
        <v>970</v>
      </c>
      <c r="J8" s="12">
        <f>Table5[[#This Row],[Cost]]*Table5[[#This Row],[Stock]]</f>
        <v>950600</v>
      </c>
      <c r="K8" s="12" t="str">
        <f>IFERROR(IF(Table5[[#This Row],[Stock]]&lt;500,"📞" &amp;E6&amp;" Needs to Reorder! PH" &amp;VLOOKUP(Table5[[#This Row],[HSN Code]],Vtable[#All],4,0),""),"")</f>
        <v/>
      </c>
    </row>
    <row r="9" spans="1:11" ht="23.4" x14ac:dyDescent="0.45">
      <c r="D9" s="12" t="str">
        <f>IFERROR(Product!D8,"")</f>
        <v>N1002</v>
      </c>
      <c r="E9" s="12" t="str">
        <f>Product!E8</f>
        <v>Laptop HP xyz i5</v>
      </c>
      <c r="F9" s="12">
        <f>Product!F8</f>
        <v>34500</v>
      </c>
      <c r="G9" s="12">
        <f>IFERROR(SUMIF(Purchase!E9:E19,Inventory!E8:E18,Purchase!I9:I19),"")</f>
        <v>34500</v>
      </c>
      <c r="H9" s="12">
        <f>IFERROR(SUMIF(Sales!G11:G21,Inventory!E9:E18,Sales!J11:J21),"")</f>
        <v>10</v>
      </c>
      <c r="I9" s="12">
        <f>Table5[[#This Row],[P Units]]-Table5[[#This Row],[S Units]]</f>
        <v>34490</v>
      </c>
      <c r="J9" s="12">
        <f>Table5[[#This Row],[Cost]]*Table5[[#This Row],[Stock]]</f>
        <v>1189905000</v>
      </c>
      <c r="K9" s="12" t="str">
        <f>IFERROR(IF(Table5[[#This Row],[Stock]]&lt;500,"📞" &amp;E7&amp;" Needs to Reorder! PH" &amp;VLOOKUP(Table5[[#This Row],[HSN Code]],Vtable[#All],4,0),""),"")</f>
        <v/>
      </c>
    </row>
    <row r="10" spans="1:11" ht="23.4" x14ac:dyDescent="0.45">
      <c r="D10" s="12" t="str">
        <f>IFERROR(Product!D9,"")</f>
        <v>N1003</v>
      </c>
      <c r="E10" s="12" t="str">
        <f>Product!E9</f>
        <v>Wireless Printer</v>
      </c>
      <c r="F10" s="12">
        <f>Product!F9</f>
        <v>4600</v>
      </c>
      <c r="G10" s="12">
        <f>IFERROR(SUMIF(Purchase!E10:E20,Inventory!E9:E19,Purchase!I10:I20),"")</f>
        <v>4600</v>
      </c>
      <c r="H10" s="12">
        <f>IFERROR(SUMIF(Sales!G12:G22,Inventory!E10:E19,Sales!J12:J22),"")</f>
        <v>50</v>
      </c>
      <c r="I10" s="12">
        <f>Table5[[#This Row],[P Units]]-Table5[[#This Row],[S Units]]</f>
        <v>4550</v>
      </c>
      <c r="J10" s="12">
        <f>Table5[[#This Row],[Cost]]*Table5[[#This Row],[Stock]]</f>
        <v>20930000</v>
      </c>
      <c r="K10" s="12" t="str">
        <f>IFERROR(IF(Table5[[#This Row],[Stock]]&lt;500,"📞" &amp;E8&amp;" Needs to Reorder! PH" &amp;VLOOKUP(Table5[[#This Row],[HSN Code]],Vtable[#All],4,0),""),"")</f>
        <v/>
      </c>
    </row>
    <row r="11" spans="1:11" ht="23.4" x14ac:dyDescent="0.45">
      <c r="D11" s="12" t="str">
        <f>IFERROR(Product!D10,"")</f>
        <v>N1004</v>
      </c>
      <c r="E11" s="12" t="str">
        <f>Product!E10</f>
        <v>Desktop</v>
      </c>
      <c r="F11" s="12">
        <f>Product!F10</f>
        <v>21000</v>
      </c>
      <c r="G11" s="12">
        <f>IFERROR(SUMIF(Purchase!E11:E21,Inventory!E10:E20,Purchase!I11:I21),"")</f>
        <v>21000</v>
      </c>
      <c r="H11" s="12">
        <f>IFERROR(SUMIF(Sales!G13:G23,Inventory!E11:E20,Sales!J13:J23),"")</f>
        <v>50</v>
      </c>
      <c r="I11" s="12">
        <f>Table5[[#This Row],[P Units]]-Table5[[#This Row],[S Units]]</f>
        <v>20950</v>
      </c>
      <c r="J11" s="12">
        <f>Table5[[#This Row],[Cost]]*Table5[[#This Row],[Stock]]</f>
        <v>439950000</v>
      </c>
      <c r="K11" s="12" t="str">
        <f>IFERROR(IF(Table5[[#This Row],[Stock]]&lt;500,"📞" &amp;E9&amp;" Needs to Reorder! PH" &amp;VLOOKUP(Table5[[#This Row],[HSN Code]],Vtable[#All],4,0),""),"")</f>
        <v/>
      </c>
    </row>
    <row r="12" spans="1:11" ht="23.4" x14ac:dyDescent="0.45">
      <c r="D12" s="12" t="str">
        <f>IFERROR(Product!D11,"")</f>
        <v>N1005</v>
      </c>
      <c r="E12" s="12" t="str">
        <f>Product!E11</f>
        <v>Mouse</v>
      </c>
      <c r="F12" s="12">
        <f>Product!F11</f>
        <v>200</v>
      </c>
      <c r="G12" s="12">
        <f>IFERROR(SUMIF(Purchase!E12:E22,Inventory!E11:E21,Purchase!I12:I22),"")</f>
        <v>200</v>
      </c>
      <c r="H12" s="12">
        <f>IFERROR(SUMIF(Sales!G14:G24,Inventory!E12:E21,Sales!J14:J24),"")</f>
        <v>50</v>
      </c>
      <c r="I12" s="12">
        <f>Table5[[#This Row],[P Units]]-Table5[[#This Row],[S Units]]</f>
        <v>150</v>
      </c>
      <c r="J12" s="12">
        <f>Table5[[#This Row],[Cost]]*Table5[[#This Row],[Stock]]</f>
        <v>30000</v>
      </c>
      <c r="K12" s="12" t="str">
        <f>IFERROR(IF(Table5[[#This Row],[Stock]]&lt;500,"📞" &amp;E10&amp;" Needs to Reorder! PH" &amp;VLOOKUP(Table5[[#This Row],[HSN Code]],Vtable[#All],4,0),""),"")</f>
        <v>📞Wireless Printer Needs to Reorder! PH9813xxxxxx</v>
      </c>
    </row>
    <row r="13" spans="1:11" ht="23.4" x14ac:dyDescent="0.45">
      <c r="D13" s="12" t="str">
        <f>IFERROR(Product!D12,"")</f>
        <v>N1006</v>
      </c>
      <c r="E13" s="12" t="str">
        <f>Product!E12</f>
        <v>Rgb Keyboard</v>
      </c>
      <c r="F13" s="12">
        <f>Product!F12</f>
        <v>340</v>
      </c>
      <c r="G13" s="12">
        <f>IFERROR(SUMIF(Purchase!E13:E23,Inventory!E12:E22,Purchase!I13:I23),"")</f>
        <v>680</v>
      </c>
      <c r="H13" s="12">
        <f>IFERROR(SUMIF(Sales!G15:G25,Inventory!E13:E22,Sales!J15:J25),"")</f>
        <v>100</v>
      </c>
      <c r="I13" s="12">
        <f>Table5[[#This Row],[P Units]]-Table5[[#This Row],[S Units]]</f>
        <v>580</v>
      </c>
      <c r="J13" s="12">
        <f>Table5[[#This Row],[Cost]]*Table5[[#This Row],[Stock]]</f>
        <v>197200</v>
      </c>
      <c r="K13" s="12" t="str">
        <f>IFERROR(IF(Table5[[#This Row],[Stock]]&lt;500,"📞" &amp;E11&amp;" Needs to Reorder! PH" &amp;VLOOKUP(Table5[[#This Row],[HSN Code]],Vtable[#All],4,0),""),"")</f>
        <v/>
      </c>
    </row>
    <row r="14" spans="1:11" ht="23.4" x14ac:dyDescent="0.45">
      <c r="D14" s="12" t="str">
        <f>IFERROR(Product!D13,"")</f>
        <v>N1007</v>
      </c>
      <c r="E14" s="12" t="str">
        <f>Product!E13</f>
        <v>Camera</v>
      </c>
      <c r="F14" s="12">
        <f>Product!F13</f>
        <v>52000</v>
      </c>
      <c r="G14" s="12">
        <f>IFERROR(SUMIF(Purchase!E14:E24,Inventory!E13:E23,Purchase!I14:I24),"")</f>
        <v>52000</v>
      </c>
      <c r="H14" s="12">
        <f>IFERROR(SUMIF(Sales!G16:G26,Inventory!E14:E23,Sales!J16:J26),"")</f>
        <v>50</v>
      </c>
      <c r="I14" s="12">
        <f>Table5[[#This Row],[P Units]]-Table5[[#This Row],[S Units]]</f>
        <v>51950</v>
      </c>
      <c r="J14" s="12">
        <f>Table5[[#This Row],[Cost]]*Table5[[#This Row],[Stock]]</f>
        <v>2701400000</v>
      </c>
      <c r="K14" s="12" t="str">
        <f>IFERROR(IF(Table5[[#This Row],[Stock]]&lt;500,"📞" &amp;E12&amp;" Needs to Reorder! PH" &amp;VLOOKUP(Table5[[#This Row],[HSN Code]],Vtable[#All],4,0),""),"")</f>
        <v/>
      </c>
    </row>
    <row r="15" spans="1:11" ht="23.4" x14ac:dyDescent="0.45">
      <c r="D15" s="12" t="str">
        <f>IFERROR(Product!D14,"")</f>
        <v>N1008</v>
      </c>
      <c r="E15" s="12" t="str">
        <f>Product!E14</f>
        <v>Headphones</v>
      </c>
      <c r="F15" s="12">
        <f>Product!F14</f>
        <v>799</v>
      </c>
      <c r="G15" s="12">
        <f>IFERROR(SUMIF(Purchase!E15:E25,Inventory!E14:E24,Purchase!I15:I25),"")</f>
        <v>799</v>
      </c>
      <c r="H15" s="12">
        <f>IFERROR(SUMIF(Sales!G17:G27,Inventory!E15:E24,Sales!J17:J27),"")</f>
        <v>20</v>
      </c>
      <c r="I15" s="12">
        <f>Table5[[#This Row],[P Units]]-Table5[[#This Row],[S Units]]</f>
        <v>779</v>
      </c>
      <c r="J15" s="12">
        <f>Table5[[#This Row],[Cost]]*Table5[[#This Row],[Stock]]</f>
        <v>622421</v>
      </c>
      <c r="K15" s="12" t="str">
        <f>IFERROR(IF(Table5[[#This Row],[Stock]]&lt;500,"📞" &amp;E13&amp;" Needs to Reorder! PH" &amp;VLOOKUP(Table5[[#This Row],[HSN Code]],Vtable[#All],4,0),""),"")</f>
        <v/>
      </c>
    </row>
    <row r="16" spans="1:11" ht="23.4" x14ac:dyDescent="0.45">
      <c r="D16" s="12" t="str">
        <f>IFERROR(Product!D15,"")</f>
        <v>N1009</v>
      </c>
      <c r="E16" s="12" t="str">
        <f>Product!E15</f>
        <v>Speakers</v>
      </c>
      <c r="F16" s="12">
        <f>Product!F15</f>
        <v>670</v>
      </c>
      <c r="G16" s="12">
        <f>IFERROR(SUMIF(Purchase!E16:E26,Inventory!E15:E25,Purchase!I16:I26),"")</f>
        <v>670</v>
      </c>
      <c r="H16" s="12">
        <f>IFERROR(SUMIF(Sales!G18:G28,Inventory!E16:E25,Sales!J18:J28),"")</f>
        <v>30</v>
      </c>
      <c r="I16" s="12">
        <f>Table5[[#This Row],[P Units]]-Table5[[#This Row],[S Units]]</f>
        <v>640</v>
      </c>
      <c r="J16" s="12">
        <f>Table5[[#This Row],[Cost]]*Table5[[#This Row],[Stock]]</f>
        <v>428800</v>
      </c>
      <c r="K16" s="12" t="str">
        <f>IFERROR(IF(Table5[[#This Row],[Stock]]&lt;500,"📞" &amp;E14&amp;" Needs to Reorder! PH" &amp;VLOOKUP(Table5[[#This Row],[HSN Code]],Vtable[#All],4,0),""),"")</f>
        <v/>
      </c>
    </row>
    <row r="17" spans="2:11" ht="23.4" x14ac:dyDescent="0.45">
      <c r="D17" s="12" t="str">
        <f>IFERROR(Product!D16,"")</f>
        <v>N1010</v>
      </c>
      <c r="E17" s="12" t="str">
        <f>Product!E16</f>
        <v>Tablets</v>
      </c>
      <c r="F17" s="12">
        <f>Product!F16</f>
        <v>23500</v>
      </c>
      <c r="G17" s="12">
        <f>IFERROR(SUMIF(Purchase!E17:E27,Inventory!E16:E26,Purchase!I17:I27),"")</f>
        <v>23500</v>
      </c>
      <c r="H17" s="12">
        <f>IFERROR(SUMIF(Sales!G19:G29,Inventory!E17:E26,Sales!J19:J29),"")</f>
        <v>25</v>
      </c>
      <c r="I17" s="12">
        <f>Table5[[#This Row],[P Units]]-Table5[[#This Row],[S Units]]</f>
        <v>23475</v>
      </c>
      <c r="J17" s="12">
        <f>Table5[[#This Row],[Cost]]*Table5[[#This Row],[Stock]]</f>
        <v>551662500</v>
      </c>
      <c r="K17" s="12" t="str">
        <f>IFERROR(IF(Table5[[#This Row],[Stock]]&lt;500,"📞" &amp;E15&amp;" Needs to Reorder! PH" &amp;VLOOKUP(Table5[[#This Row],[HSN Code]],Vtable[#All],4,0),""),"")</f>
        <v/>
      </c>
    </row>
    <row r="18" spans="2:11" ht="23.4" x14ac:dyDescent="0.45">
      <c r="D18" s="8"/>
      <c r="E18" s="8"/>
      <c r="F18" s="8"/>
      <c r="G18" s="8"/>
      <c r="H18" s="8"/>
      <c r="I18" s="8"/>
      <c r="J18" s="8"/>
      <c r="K18" s="12" t="str">
        <f>IFERROR(IF(Table5[[#This Row],[Stock]]&lt;500,"📞" &amp;E16&amp;" Needs to Reorder! PH" &amp;VLOOKUP(Table5[[#This Row],[HSN Code]],Vtable[#All],4,0),""),"")</f>
        <v/>
      </c>
    </row>
    <row r="19" spans="2:11" ht="23.4" x14ac:dyDescent="0.45">
      <c r="D19" s="8"/>
      <c r="E19" s="8"/>
      <c r="F19" s="8"/>
      <c r="G19" s="8"/>
      <c r="H19" s="8"/>
      <c r="I19" s="8"/>
      <c r="J19" s="8"/>
      <c r="K19" s="12" t="str">
        <f>IFERROR(IF(Table5[[#This Row],[Stock]]&lt;500,"📞" &amp;E17&amp;" Needs to Reorder! PH" &amp;VLOOKUP(Table5[[#This Row],[HSN Code]],Vtable[#All],4,0),""),"")</f>
        <v/>
      </c>
    </row>
    <row r="20" spans="2:11" ht="23.4" x14ac:dyDescent="0.45">
      <c r="D20" s="8"/>
      <c r="E20" s="8"/>
      <c r="F20" s="8"/>
      <c r="G20" s="8"/>
      <c r="H20" s="8"/>
      <c r="I20" s="8"/>
      <c r="J20" s="8"/>
      <c r="K20" s="12" t="str">
        <f>IFERROR(IF(Table5[[#This Row],[Stock]]&lt;500,"📞" &amp;E18&amp;" Needs to Reorder! PH" &amp;VLOOKUP(Table5[[#This Row],[HSN Code]],Vtable[#All],4,0),""),"")</f>
        <v/>
      </c>
    </row>
    <row r="21" spans="2:11" ht="23.4" x14ac:dyDescent="0.45">
      <c r="B21" s="3"/>
      <c r="D21" s="8"/>
      <c r="E21" s="8"/>
      <c r="F21" s="8"/>
      <c r="G21" s="8"/>
      <c r="H21" s="8"/>
      <c r="I21" s="8"/>
      <c r="J21" s="8"/>
      <c r="K21" s="12" t="str">
        <f>IFERROR(IF(Table5[[#This Row],[Stock]]&lt;500,"📞" &amp;E19&amp;" Needs to Reorder! PH" &amp;VLOOKUP(Table5[[#This Row],[HSN Code]],Vtable[#All],4,0),""),"")</f>
        <v/>
      </c>
    </row>
    <row r="22" spans="2:11" ht="23.4" x14ac:dyDescent="0.45">
      <c r="D22" s="8"/>
      <c r="E22" s="8"/>
      <c r="F22" s="8"/>
      <c r="G22" s="8"/>
      <c r="H22" s="8"/>
      <c r="I22" s="8"/>
      <c r="J22" s="8"/>
      <c r="K22" s="12" t="str">
        <f>IFERROR(IF(Table5[[#This Row],[Stock]]&lt;500,"📞" &amp;E20&amp;" Needs to Reorder! PH" &amp;VLOOKUP(Table5[[#This Row],[HSN Code]],Vtable[#All],4,0),""),"")</f>
        <v/>
      </c>
    </row>
    <row r="23" spans="2:11" ht="23.4" x14ac:dyDescent="0.45">
      <c r="D23" s="8"/>
      <c r="E23" s="8"/>
      <c r="F23" s="8"/>
      <c r="G23" s="8"/>
      <c r="H23" s="8"/>
      <c r="I23" s="8"/>
      <c r="J23" s="8"/>
      <c r="K23" s="12" t="str">
        <f>IFERROR(IF(Table5[[#This Row],[Stock]]&lt;500,"📞" &amp;E21&amp;" Needs to Reorder! PH" &amp;VLOOKUP(Table5[[#This Row],[HSN Code]],Vtable[#All],4,0),""),"")</f>
        <v/>
      </c>
    </row>
    <row r="24" spans="2:11" ht="23.4" x14ac:dyDescent="0.45">
      <c r="D24" s="8"/>
      <c r="E24" s="8"/>
      <c r="F24" s="8"/>
      <c r="G24" s="8"/>
      <c r="H24" s="8"/>
      <c r="I24" s="8"/>
      <c r="J24" s="8"/>
      <c r="K24" s="12" t="str">
        <f>IFERROR(IF(Table5[[#This Row],[Stock]]&lt;500,"📞" &amp;E22&amp;" Needs to Reorder! PH" &amp;VLOOKUP(Table5[[#This Row],[HSN Code]],Vtable[#All],4,0),""),"")</f>
        <v/>
      </c>
    </row>
    <row r="25" spans="2:11" ht="23.4" x14ac:dyDescent="0.45">
      <c r="D25" s="8"/>
      <c r="E25" s="8"/>
      <c r="F25" s="8"/>
      <c r="G25" s="8"/>
      <c r="H25" s="8"/>
      <c r="I25" s="8"/>
      <c r="J25" s="8"/>
      <c r="K25" s="12" t="str">
        <f>IFERROR(IF(Table5[[#This Row],[Stock]]&lt;500,"📞" &amp;E23&amp;" Needs to Reorder! PH" &amp;VLOOKUP(Table5[[#This Row],[HSN Code]],Vtable[#All],4,0),""),"")</f>
        <v/>
      </c>
    </row>
    <row r="26" spans="2:11" ht="23.4" x14ac:dyDescent="0.45">
      <c r="D26" s="8"/>
      <c r="E26" s="8"/>
      <c r="F26" s="8"/>
      <c r="G26" s="8"/>
      <c r="H26" s="8"/>
      <c r="I26" s="8"/>
      <c r="J26" s="8"/>
      <c r="K26" s="12" t="str">
        <f>IFERROR(IF(Table5[[#This Row],[Stock]]&lt;500,"📞" &amp;E24&amp;" Needs to Reorder! PH" &amp;VLOOKUP(Table5[[#This Row],[HSN Code]],Vtable[#All],4,0),""),"")</f>
        <v/>
      </c>
    </row>
    <row r="27" spans="2:11" ht="23.4" x14ac:dyDescent="0.45">
      <c r="D27" s="8">
        <f>IFERROR(Product!D26,"")</f>
        <v>0</v>
      </c>
      <c r="E27" s="8"/>
      <c r="F27" s="8"/>
      <c r="G27" s="8"/>
      <c r="H27" s="8"/>
      <c r="I27" s="8"/>
      <c r="J27" s="8"/>
      <c r="K27" s="12" t="str">
        <f>IFERROR(IF(Table5[[#This Row],[Stock]]&lt;500,"📞" &amp;E25&amp;" Needs to Reorder! PH" &amp;VLOOKUP(Table5[[#This Row],[HSN Code]],Vtable[#All],4,0),""),"")</f>
        <v/>
      </c>
    </row>
  </sheetData>
  <phoneticPr fontId="6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8AA1-E2B7-441E-A16A-F6AA23F3B084}">
  <dimension ref="A1:K36"/>
  <sheetViews>
    <sheetView zoomScale="90" zoomScaleNormal="90" workbookViewId="0">
      <selection activeCell="R28" sqref="R28"/>
    </sheetView>
  </sheetViews>
  <sheetFormatPr defaultRowHeight="14.4" x14ac:dyDescent="0.3"/>
  <cols>
    <col min="1" max="1" width="14.88671875" bestFit="1" customWidth="1"/>
    <col min="2" max="2" width="12.33203125" bestFit="1" customWidth="1"/>
    <col min="3" max="3" width="24.21875" customWidth="1"/>
    <col min="9" max="9" width="17.5546875" bestFit="1" customWidth="1"/>
    <col min="10" max="10" width="20.44140625" bestFit="1" customWidth="1"/>
  </cols>
  <sheetData>
    <row r="1" spans="1:11" ht="21" x14ac:dyDescent="0.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1" x14ac:dyDescent="0.4">
      <c r="A2" s="19" t="s">
        <v>81</v>
      </c>
      <c r="B2" s="19"/>
      <c r="C2" s="19" t="s">
        <v>82</v>
      </c>
      <c r="D2" s="19"/>
      <c r="E2" s="19"/>
      <c r="F2" s="19"/>
      <c r="G2" s="19"/>
      <c r="H2" s="19"/>
      <c r="I2" s="19"/>
      <c r="J2" s="19"/>
      <c r="K2" s="19"/>
    </row>
    <row r="3" spans="1:11" ht="21" x14ac:dyDescent="0.4">
      <c r="A3" s="19">
        <v>7</v>
      </c>
      <c r="B3" s="19"/>
      <c r="C3" s="19">
        <f>GETPIVOTDATA("Name",$A$2)</f>
        <v>7</v>
      </c>
      <c r="D3" s="19"/>
      <c r="E3" s="19"/>
      <c r="F3" s="19"/>
      <c r="G3" s="19"/>
      <c r="H3" s="19"/>
      <c r="I3" s="19"/>
      <c r="J3" s="19"/>
      <c r="K3" s="19"/>
    </row>
    <row r="4" spans="1:11" ht="21" x14ac:dyDescent="0.4">
      <c r="A4" s="19"/>
      <c r="B4" s="19"/>
      <c r="C4" s="19"/>
      <c r="D4" s="19"/>
      <c r="E4" s="19"/>
      <c r="F4" s="19"/>
      <c r="G4" s="19"/>
      <c r="H4" s="19"/>
      <c r="I4" s="20" t="s">
        <v>91</v>
      </c>
      <c r="J4" s="19" t="s">
        <v>93</v>
      </c>
      <c r="K4" s="19"/>
    </row>
    <row r="5" spans="1:11" ht="21" x14ac:dyDescent="0.4">
      <c r="A5" s="19"/>
      <c r="B5" s="19"/>
      <c r="C5" s="19"/>
      <c r="D5" s="19"/>
      <c r="E5" s="19"/>
      <c r="F5" s="19"/>
      <c r="G5" s="19"/>
      <c r="H5" s="19"/>
      <c r="I5" s="21" t="s">
        <v>41</v>
      </c>
      <c r="J5" s="19">
        <v>100</v>
      </c>
      <c r="K5" s="19"/>
    </row>
    <row r="6" spans="1:11" ht="21" x14ac:dyDescent="0.4">
      <c r="A6" s="19" t="s">
        <v>83</v>
      </c>
      <c r="B6" s="19"/>
      <c r="C6" s="19" t="s">
        <v>84</v>
      </c>
      <c r="D6" s="19"/>
      <c r="E6" s="19"/>
      <c r="F6" s="19"/>
      <c r="G6" s="19"/>
      <c r="H6" s="19"/>
      <c r="I6" s="21" t="s">
        <v>43</v>
      </c>
      <c r="J6" s="19">
        <v>50</v>
      </c>
      <c r="K6" s="19"/>
    </row>
    <row r="7" spans="1:11" ht="21" x14ac:dyDescent="0.4">
      <c r="A7" s="19">
        <v>10</v>
      </c>
      <c r="B7" s="19"/>
      <c r="C7" s="19">
        <f>GETPIVOTDATA("Product Name",$A$6)</f>
        <v>10</v>
      </c>
      <c r="D7" s="19"/>
      <c r="E7" s="19"/>
      <c r="F7" s="19"/>
      <c r="G7" s="19"/>
      <c r="H7" s="19"/>
      <c r="I7" s="21" t="s">
        <v>35</v>
      </c>
      <c r="J7" s="19">
        <v>50</v>
      </c>
      <c r="K7" s="19"/>
    </row>
    <row r="8" spans="1:11" ht="21" x14ac:dyDescent="0.4">
      <c r="A8" s="19"/>
      <c r="B8" s="19"/>
      <c r="C8" s="19"/>
      <c r="D8" s="19"/>
      <c r="E8" s="19"/>
      <c r="F8" s="19"/>
      <c r="G8" s="19"/>
      <c r="H8" s="19"/>
      <c r="I8" s="21" t="s">
        <v>37</v>
      </c>
      <c r="J8" s="19">
        <v>50</v>
      </c>
      <c r="K8" s="19"/>
    </row>
    <row r="9" spans="1:11" ht="21" x14ac:dyDescent="0.4">
      <c r="A9" s="19"/>
      <c r="B9" s="19"/>
      <c r="C9" s="19"/>
      <c r="D9" s="19"/>
      <c r="E9" s="19"/>
      <c r="F9" s="19"/>
      <c r="G9" s="19"/>
      <c r="H9" s="19"/>
      <c r="I9" s="21" t="s">
        <v>39</v>
      </c>
      <c r="J9" s="19">
        <v>50</v>
      </c>
      <c r="K9" s="19"/>
    </row>
    <row r="10" spans="1:11" ht="21" x14ac:dyDescent="0.4">
      <c r="A10" s="19" t="s">
        <v>85</v>
      </c>
      <c r="B10" s="19"/>
      <c r="C10" s="19" t="s">
        <v>86</v>
      </c>
      <c r="D10" s="19"/>
      <c r="E10" s="19"/>
      <c r="F10" s="19"/>
      <c r="G10" s="19"/>
      <c r="H10" s="19"/>
      <c r="I10" s="21" t="s">
        <v>92</v>
      </c>
      <c r="J10" s="19">
        <v>300</v>
      </c>
      <c r="K10" s="19"/>
    </row>
    <row r="11" spans="1:11" ht="21" x14ac:dyDescent="0.4">
      <c r="A11" s="19">
        <v>2835980</v>
      </c>
      <c r="B11" s="19"/>
      <c r="C11" s="22">
        <f>GETPIVOTDATA("Amount",$A$10)</f>
        <v>2835980</v>
      </c>
      <c r="D11" s="19"/>
      <c r="E11" s="19"/>
      <c r="F11" s="19"/>
      <c r="G11" s="19"/>
      <c r="H11" s="19"/>
      <c r="I11" s="19"/>
      <c r="J11" s="19"/>
      <c r="K11" s="19"/>
    </row>
    <row r="12" spans="1:11" ht="21" x14ac:dyDescent="0.4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21" x14ac:dyDescent="0.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21" x14ac:dyDescent="0.4">
      <c r="A14" s="19" t="s">
        <v>85</v>
      </c>
      <c r="B14" s="19"/>
      <c r="C14" s="19" t="s">
        <v>87</v>
      </c>
      <c r="D14" s="19"/>
      <c r="E14" s="19"/>
      <c r="F14" s="19"/>
      <c r="G14" s="19"/>
      <c r="H14" s="19"/>
      <c r="I14" s="20" t="s">
        <v>91</v>
      </c>
      <c r="J14" s="19" t="s">
        <v>85</v>
      </c>
      <c r="K14" s="19"/>
    </row>
    <row r="15" spans="1:11" ht="21" x14ac:dyDescent="0.4">
      <c r="A15" s="19">
        <v>5882856</v>
      </c>
      <c r="B15" s="19"/>
      <c r="C15" s="22">
        <f>GETPIVOTDATA("Amount",$A$14)</f>
        <v>5882856</v>
      </c>
      <c r="D15" s="19"/>
      <c r="E15" s="19"/>
      <c r="F15" s="19"/>
      <c r="G15" s="19"/>
      <c r="H15" s="19"/>
      <c r="I15" s="21" t="s">
        <v>5</v>
      </c>
      <c r="J15" s="19">
        <v>2507760</v>
      </c>
      <c r="K15" s="19"/>
    </row>
    <row r="16" spans="1:11" ht="21" x14ac:dyDescent="0.4">
      <c r="A16" s="19"/>
      <c r="B16" s="19"/>
      <c r="C16" s="19"/>
      <c r="D16" s="19"/>
      <c r="E16" s="19"/>
      <c r="F16" s="19"/>
      <c r="G16" s="19"/>
      <c r="H16" s="19"/>
      <c r="I16" s="21" t="s">
        <v>14</v>
      </c>
      <c r="J16" s="19">
        <v>1260000</v>
      </c>
      <c r="K16" s="19"/>
    </row>
    <row r="17" spans="1:11" ht="21" x14ac:dyDescent="0.4">
      <c r="A17" s="19"/>
      <c r="B17" s="19"/>
      <c r="C17" s="19"/>
      <c r="D17" s="19"/>
      <c r="E17" s="19"/>
      <c r="F17" s="19"/>
      <c r="G17" s="19"/>
      <c r="H17" s="19"/>
      <c r="I17" s="21" t="s">
        <v>8</v>
      </c>
      <c r="J17" s="19">
        <v>1119000</v>
      </c>
      <c r="K17" s="19"/>
    </row>
    <row r="18" spans="1:11" ht="21" x14ac:dyDescent="0.4">
      <c r="A18" s="19" t="s">
        <v>89</v>
      </c>
      <c r="B18" s="19"/>
      <c r="C18" s="19" t="s">
        <v>88</v>
      </c>
      <c r="D18" s="19"/>
      <c r="E18" s="19"/>
      <c r="F18" s="19"/>
      <c r="G18" s="19"/>
      <c r="H18" s="19"/>
      <c r="I18" s="21" t="s">
        <v>23</v>
      </c>
      <c r="J18" s="19">
        <v>648120</v>
      </c>
      <c r="K18" s="19"/>
    </row>
    <row r="19" spans="1:11" ht="21" x14ac:dyDescent="0.4">
      <c r="A19" s="19">
        <v>4906076521</v>
      </c>
      <c r="B19" s="19"/>
      <c r="C19" s="22">
        <f>GETPIVOTDATA("Stock Amt",$A$18)</f>
        <v>4906076521</v>
      </c>
      <c r="D19" s="19"/>
      <c r="E19" s="19"/>
      <c r="F19" s="19"/>
      <c r="G19" s="19"/>
      <c r="H19" s="19"/>
      <c r="I19" s="21" t="s">
        <v>11</v>
      </c>
      <c r="J19" s="19">
        <v>276000</v>
      </c>
      <c r="K19" s="19"/>
    </row>
    <row r="20" spans="1:11" ht="21" x14ac:dyDescent="0.4">
      <c r="A20" s="19"/>
      <c r="B20" s="19"/>
      <c r="C20" s="19"/>
      <c r="D20" s="19"/>
      <c r="E20" s="19"/>
      <c r="F20" s="19"/>
      <c r="G20" s="19"/>
      <c r="H20" s="19"/>
      <c r="I20" s="21" t="s">
        <v>92</v>
      </c>
      <c r="J20" s="19">
        <v>5810880</v>
      </c>
      <c r="K20" s="19"/>
    </row>
    <row r="21" spans="1:11" ht="21" x14ac:dyDescent="0.4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21" x14ac:dyDescent="0.4">
      <c r="A22" s="19"/>
      <c r="B22" s="19"/>
      <c r="C22" s="19" t="s">
        <v>90</v>
      </c>
      <c r="D22" s="19"/>
      <c r="E22" s="19"/>
      <c r="F22" s="19"/>
      <c r="G22" s="19"/>
      <c r="H22" s="19"/>
      <c r="I22" s="19"/>
      <c r="J22" s="19"/>
      <c r="K22" s="19"/>
    </row>
    <row r="23" spans="1:11" ht="21" x14ac:dyDescent="0.4">
      <c r="A23" s="19"/>
      <c r="B23" s="19"/>
      <c r="C23" s="22">
        <f>C19+C15-C11</f>
        <v>4909123397</v>
      </c>
      <c r="D23" s="19"/>
      <c r="E23" s="19"/>
      <c r="F23" s="19"/>
      <c r="G23" s="19"/>
      <c r="H23" s="19"/>
      <c r="I23" s="19"/>
      <c r="J23" s="19"/>
      <c r="K23" s="19"/>
    </row>
    <row r="24" spans="1:11" x14ac:dyDescent="0.3">
      <c r="A24" s="28" t="s">
        <v>91</v>
      </c>
      <c r="B24" t="s">
        <v>97</v>
      </c>
    </row>
    <row r="25" spans="1:11" x14ac:dyDescent="0.3">
      <c r="A25" s="29" t="s">
        <v>43</v>
      </c>
      <c r="B25">
        <v>51950</v>
      </c>
    </row>
    <row r="26" spans="1:11" x14ac:dyDescent="0.3">
      <c r="A26" s="29" t="s">
        <v>37</v>
      </c>
      <c r="B26">
        <v>20950</v>
      </c>
    </row>
    <row r="27" spans="1:11" x14ac:dyDescent="0.3">
      <c r="A27" s="29" t="s">
        <v>45</v>
      </c>
      <c r="B27">
        <v>779</v>
      </c>
    </row>
    <row r="28" spans="1:11" x14ac:dyDescent="0.3">
      <c r="A28" s="29" t="s">
        <v>33</v>
      </c>
      <c r="B28">
        <v>34490</v>
      </c>
    </row>
    <row r="29" spans="1:11" x14ac:dyDescent="0.3">
      <c r="A29" s="29" t="s">
        <v>39</v>
      </c>
      <c r="B29">
        <v>150</v>
      </c>
    </row>
    <row r="30" spans="1:11" x14ac:dyDescent="0.3">
      <c r="A30" s="29" t="s">
        <v>41</v>
      </c>
      <c r="B30">
        <v>580</v>
      </c>
    </row>
    <row r="31" spans="1:11" x14ac:dyDescent="0.3">
      <c r="A31" s="29" t="s">
        <v>31</v>
      </c>
      <c r="B31">
        <v>970</v>
      </c>
    </row>
    <row r="32" spans="1:11" x14ac:dyDescent="0.3">
      <c r="A32" s="29" t="s">
        <v>47</v>
      </c>
      <c r="B32">
        <v>640</v>
      </c>
    </row>
    <row r="33" spans="1:2" x14ac:dyDescent="0.3">
      <c r="A33" s="29" t="s">
        <v>49</v>
      </c>
      <c r="B33">
        <v>23475</v>
      </c>
    </row>
    <row r="34" spans="1:2" x14ac:dyDescent="0.3">
      <c r="A34" s="29" t="s">
        <v>35</v>
      </c>
      <c r="B34">
        <v>4550</v>
      </c>
    </row>
    <row r="35" spans="1:2" x14ac:dyDescent="0.3">
      <c r="A35" s="29" t="s">
        <v>96</v>
      </c>
    </row>
    <row r="36" spans="1:2" x14ac:dyDescent="0.3">
      <c r="A36" s="29" t="s">
        <v>92</v>
      </c>
      <c r="B36">
        <v>138534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Dashboard</vt:lpstr>
      <vt:lpstr>Customer</vt:lpstr>
      <vt:lpstr>Product</vt:lpstr>
      <vt:lpstr>Vendor</vt:lpstr>
      <vt:lpstr>New Entry</vt:lpstr>
      <vt:lpstr>Purchase</vt:lpstr>
      <vt:lpstr>Sales</vt:lpstr>
      <vt:lpstr>Inventory</vt:lpstr>
      <vt:lpstr>Pivot</vt:lpstr>
      <vt:lpstr>Cid</vt:lpstr>
      <vt:lpstr>Customerstable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soniaishwarya231@gmail.com</dc:creator>
  <cp:lastModifiedBy>soniaishwarya231@gmail.com</cp:lastModifiedBy>
  <dcterms:created xsi:type="dcterms:W3CDTF">2026-07-04T12:28:51Z</dcterms:created>
  <dcterms:modified xsi:type="dcterms:W3CDTF">2026-07-10T17:12:14Z</dcterms:modified>
</cp:coreProperties>
</file>